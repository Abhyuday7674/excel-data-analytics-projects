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d0405d17424a08e3/Desktop/"/>
    </mc:Choice>
  </mc:AlternateContent>
  <xr:revisionPtr revIDLastSave="14" documentId="8_{468168BE-D84A-4955-9F65-0E923021A262}" xr6:coauthVersionLast="47" xr6:coauthVersionMax="47" xr10:uidLastSave="{BDB5A6FD-A687-46AB-96CD-259661EAE393}"/>
  <bookViews>
    <workbookView xWindow="-108" yWindow="-108" windowWidth="23256" windowHeight="12456" xr2:uid="{00000000-000D-0000-FFFF-FFFF00000000}"/>
  </bookViews>
  <sheets>
    <sheet name="Sheet1" sheetId="1" r:id="rId1"/>
    <sheet name="Calculation" sheetId="2" r:id="rId2"/>
    <sheet name="Pivot Table 1" sheetId="5" r:id="rId3"/>
    <sheet name="Pivot Table 2" sheetId="6" r:id="rId4"/>
  </sheets>
  <calcPr calcId="191029"/>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2" i="1" l="1"/>
  <c r="L11" i="1"/>
  <c r="L10" i="1"/>
  <c r="L9" i="1"/>
  <c r="L8" i="1"/>
  <c r="L7" i="1"/>
  <c r="L6" i="1"/>
  <c r="L5" i="1"/>
  <c r="L4" i="1"/>
  <c r="L3" i="1"/>
  <c r="L2" i="1"/>
</calcChain>
</file>

<file path=xl/sharedStrings.xml><?xml version="1.0" encoding="utf-8"?>
<sst xmlns="http://schemas.openxmlformats.org/spreadsheetml/2006/main" count="3034" uniqueCount="134">
  <si>
    <t>Store_ID</t>
  </si>
  <si>
    <t>Store_Name</t>
  </si>
  <si>
    <t>Location</t>
  </si>
  <si>
    <t>Month</t>
  </si>
  <si>
    <t>Product_Category</t>
  </si>
  <si>
    <t>Units_Sold</t>
  </si>
  <si>
    <t>Unit_Price_Rs</t>
  </si>
  <si>
    <t>Total_Sales_Rs</t>
  </si>
  <si>
    <t>Customer_Count</t>
  </si>
  <si>
    <t>Store_1</t>
  </si>
  <si>
    <t>Chennai</t>
  </si>
  <si>
    <t>Jan</t>
  </si>
  <si>
    <t>Smartphones</t>
  </si>
  <si>
    <t>Laptops</t>
  </si>
  <si>
    <t>Tablets</t>
  </si>
  <si>
    <t>Accessories</t>
  </si>
  <si>
    <t>Feb</t>
  </si>
  <si>
    <t>Mar</t>
  </si>
  <si>
    <t>Apr</t>
  </si>
  <si>
    <t>May</t>
  </si>
  <si>
    <t>Jun</t>
  </si>
  <si>
    <t>Jul</t>
  </si>
  <si>
    <t>Aug</t>
  </si>
  <si>
    <t>Sep</t>
  </si>
  <si>
    <t>Oct</t>
  </si>
  <si>
    <t>Nov</t>
  </si>
  <si>
    <t>Dec</t>
  </si>
  <si>
    <t>Store_2</t>
  </si>
  <si>
    <t>Pune</t>
  </si>
  <si>
    <t>Store_3</t>
  </si>
  <si>
    <t>Bangalore</t>
  </si>
  <si>
    <t>Store_4</t>
  </si>
  <si>
    <t>Store_5</t>
  </si>
  <si>
    <t>Store_6</t>
  </si>
  <si>
    <t>Delhi</t>
  </si>
  <si>
    <t>Store_7</t>
  </si>
  <si>
    <t>Store_8</t>
  </si>
  <si>
    <t>Store_9</t>
  </si>
  <si>
    <t>Store_10</t>
  </si>
  <si>
    <t>Store_11</t>
  </si>
  <si>
    <t>Store_12</t>
  </si>
  <si>
    <t>Store_13</t>
  </si>
  <si>
    <t>Store_14</t>
  </si>
  <si>
    <t>Store_15</t>
  </si>
  <si>
    <t>Part A: Descriptive Statistics</t>
  </si>
  <si>
    <t>Metric</t>
  </si>
  <si>
    <t>Interpretation</t>
  </si>
  <si>
    <t>Mean</t>
  </si>
  <si>
    <t>On average, each monthly sales record across all stores and products brings around ₹29.45 lakh.</t>
  </si>
  <si>
    <t>Formula</t>
  </si>
  <si>
    <t xml:space="preserve">Mean </t>
  </si>
  <si>
    <t>Median</t>
  </si>
  <si>
    <t>28,63,307</t>
  </si>
  <si>
    <t>29,45,283.9</t>
  </si>
  <si>
    <t>Mode</t>
  </si>
  <si>
    <t xml:space="preserve">Mode </t>
  </si>
  <si>
    <t>Variance</t>
  </si>
  <si>
    <t>Standard Deviation (SD)</t>
  </si>
  <si>
    <t>16,32,596</t>
  </si>
  <si>
    <t>4,05,864</t>
  </si>
  <si>
    <t>Half of the sales records are below ₹28.63 lakh and half above — meaning sales distribution is fairly balanced.</t>
  </si>
  <si>
    <t>This value appears most frequently (though it’s much lower than mean/median, showing few smaller outliers).</t>
  </si>
  <si>
    <t>Indicates a large spread between the highest and lowest sales.</t>
  </si>
  <si>
    <t>High SD means significant fluctuation in monthly sales between products/stores.</t>
  </si>
  <si>
    <t>TechnoMart’s sales show a lot of variation across different stores and months. The high standard deviation indicates that while some stores or product categories are performing really well, others are lagging behind. Managers should look into what’s driving the strong performance in top stores and find ways to improve results in the weaker ones.</t>
  </si>
  <si>
    <t>Part B: Distribution and Probability</t>
  </si>
  <si>
    <t>Result</t>
  </si>
  <si>
    <t>Highest Sale (₹)</t>
  </si>
  <si>
    <t>Lowest Sale (₹)</t>
  </si>
  <si>
    <t>Standard Deviation (₹)</t>
  </si>
  <si>
    <t>Z-Score (Highest)</t>
  </si>
  <si>
    <t>Z-Score (Lowest)</t>
  </si>
  <si>
    <t>Probability (Sales &gt; ₹50 Lakh)</t>
  </si>
  <si>
    <t>65,85,181</t>
  </si>
  <si>
    <t>–1.56</t>
  </si>
  <si>
    <t>0.104 (≈ 10.4 %)</t>
  </si>
  <si>
    <t>This is the top monthly sales figure among all store-product combinations.</t>
  </si>
  <si>
    <t>The smallest recorded sale — a clear outlier compared to the average.</t>
  </si>
  <si>
    <t>Average monthly sales value (from Part A).</t>
  </si>
  <si>
    <t>Shows strong variability in performance</t>
  </si>
  <si>
    <t>2.23 SDs above the mean → exceptional sales month.</t>
  </si>
  <si>
    <t xml:space="preserve">1.56 SDs below the mean → weak month  </t>
  </si>
  <si>
    <t>Only a 10 % chance that any given monthly record exceeds ₹50 L.</t>
  </si>
  <si>
    <t>Interpretation Summary</t>
  </si>
  <si>
    <t>*Sales distribution is roughly normal, since most Z-scores fall between –2 and +2.</t>
  </si>
  <si>
    <t>*A 10 % probability of crossing ₹50 L shows that very high sales are possible but relatively rare.</t>
  </si>
  <si>
    <t>*Management can use this insight to forecast realistically and plan promotions for boosting the number of high-sales months.</t>
  </si>
  <si>
    <t xml:space="preserve">    </t>
  </si>
  <si>
    <t>Business Risk Assessment</t>
  </si>
  <si>
    <t>1.Unpredictable Demand:
Large fluctuations make it difficult to forecast monthly revenue accurately. This increases the risk of overstocking or understocking.</t>
  </si>
  <si>
    <t>2.Cash Flow Instability:
In months of lower sales, liquidity may tighten, impacting working capital and store operations.</t>
  </si>
  <si>
    <t>3.Profit Margin Volatility:
Because sales are inconsistent, fixed costs like rent and salaries strain profits in weaker months.</t>
  </si>
  <si>
    <t>Impact on Inventory Management</t>
  </si>
  <si>
    <t>*The company must adopt dynamic inventory planning — stocking more during high-demand months (as seen in pivot trends) and less during slower ones.</t>
  </si>
  <si>
    <t>*Using predictive analytics can help forecast demand using past Z-scores and seasonal trends.</t>
  </si>
  <si>
    <t>*A safety stock buffer should be maintained to avoid stockouts when sales spike unexpectedly</t>
  </si>
  <si>
    <t>Impact on Marketing</t>
  </si>
  <si>
    <t>*Marketing campaigns should focus on low-sales months to balance revenue.</t>
  </si>
  <si>
    <t>*Since high sales (₹50L+) are rare (10% probability), targeted promotions can help push more months into that range.</t>
  </si>
  <si>
    <t>*Category-specific insights from pivot tables (e.g., top-performing products or stores) can guide focused advertising to maximize ROI.</t>
  </si>
  <si>
    <t>Range</t>
  </si>
  <si>
    <t>Lower Limit (₹)</t>
  </si>
  <si>
    <t>Upper Limit (₹)</t>
  </si>
  <si>
    <t>±1 SD</t>
  </si>
  <si>
    <t>Mean ± SD</t>
  </si>
  <si>
    <t>₹13,12,688</t>
  </si>
  <si>
    <t>₹45,77,880</t>
  </si>
  <si>
    <t>±2 SD</t>
  </si>
  <si>
    <t>Mean ± 2×SD</t>
  </si>
  <si>
    <t>₹62,10,476</t>
  </si>
  <si>
    <t xml:space="preserve">₹−3,19,908 </t>
  </si>
  <si>
    <t>Coverage (approx)</t>
  </si>
  <si>
    <t>±1 SD (₹13.1L–₹45.8L)</t>
  </si>
  <si>
    <r>
      <t xml:space="preserve">≈ </t>
    </r>
    <r>
      <rPr>
        <b/>
        <sz val="11"/>
        <color theme="1"/>
        <rFont val="Calibri"/>
        <family val="2"/>
        <scheme val="minor"/>
      </rPr>
      <t>69%</t>
    </r>
    <r>
      <rPr>
        <sz val="11"/>
        <color theme="1"/>
        <rFont val="Calibri"/>
        <family val="2"/>
        <scheme val="minor"/>
      </rPr>
      <t xml:space="preserve"> of records</t>
    </r>
  </si>
  <si>
    <t>Very close to normal (expected ≈68%)</t>
  </si>
  <si>
    <t>±2 SD (₹0–₹62.1L)</t>
  </si>
  <si>
    <r>
      <t xml:space="preserve">≈ </t>
    </r>
    <r>
      <rPr>
        <b/>
        <sz val="11"/>
        <color theme="1"/>
        <rFont val="Calibri"/>
        <family val="2"/>
        <scheme val="minor"/>
      </rPr>
      <t>95%</t>
    </r>
    <r>
      <rPr>
        <sz val="11"/>
        <color theme="1"/>
        <rFont val="Calibri"/>
        <family val="2"/>
        <scheme val="minor"/>
      </rPr>
      <t xml:space="preserve"> of records</t>
    </r>
  </si>
  <si>
    <t>Matches expected 95% for normal distribution</t>
  </si>
  <si>
    <t>*The average sales across stores amount to ₹29.45 lakh, with a standard deviation of ₹16.32 lakh, indicating moderate to high variation in sales performance.</t>
  </si>
  <si>
    <t>Row Labels</t>
  </si>
  <si>
    <t>Grand Total</t>
  </si>
  <si>
    <t>(blank)</t>
  </si>
  <si>
    <t>Column Labels</t>
  </si>
  <si>
    <t>Sum of Total_Sales_Rs</t>
  </si>
  <si>
    <t>Average of Total_Sales_Rs</t>
  </si>
  <si>
    <t>Part C: Pivot Table Analysis</t>
  </si>
  <si>
    <t>🔹 Pivot Table Summary</t>
  </si>
  <si>
    <t>I made a pivot table in Excel that shows the average and total monthly sales by store and product type.</t>
  </si>
  <si>
    <t>Tablets and accessories contribute less to sales than laptops and cellphones, as the table clearly shows.</t>
  </si>
  <si>
    <t>Among stores, Metro City branches consistently perform better than Tier-2 locations.</t>
  </si>
  <si>
    <t>🔹 Three business plans (pertaining to marketing, stocking, and expansion)</t>
  </si>
  <si>
    <t>Marketing Plan: Increase promotional efforts to increase sales and awareness of low-selling items (such as accessories) in Tier-2 cities.</t>
  </si>
  <si>
    <t>Stocking Strategy: Metro retailers should maintain higher stock levels of computers and cellphones during times of high demand, such as November through January.</t>
  </si>
  <si>
    <t>Expansion Strategy: Consider expanding or updating high-performing metro stores and training staff at underperforming branches to match sales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</si>
</sst>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scheme val="minor"/>
    </font>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scheme val="minor"/>
    </font>
    <font>
      <sz val="13.75"/>
      <color rgb="FF212A3E"/>
      <name val="Inter"/>
    </font>
    <font>
      <b/>
      <sz val="14"/>
      <color theme="1"/>
      <name val="Calibri"/>
      <family val="2"/>
      <scheme val="minor"/>
    </font>
    <font>
      <b/>
      <sz val="18"/>
      <color theme="1"/>
      <name val="Calibri"/>
      <family val="2"/>
      <scheme val="minor"/>
    </font>
    <font>
      <i/>
      <u/>
      <sz val="11"/>
      <color theme="1"/>
      <name val="Calibri"/>
      <family val="2"/>
      <scheme val="minor"/>
    </font>
    <font>
      <b/>
      <i/>
      <u/>
      <sz val="28"/>
      <color theme="1"/>
      <name val="Calibri"/>
      <family val="2"/>
      <scheme val="minor"/>
    </font>
    <font>
      <sz val="16"/>
      <color theme="1"/>
      <name val="Calibri"/>
      <family val="2"/>
      <scheme val="minor"/>
    </font>
    <font>
      <sz val="18"/>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5">
    <xf numFmtId="0" fontId="0" fillId="0" borderId="0" xfId="0"/>
    <xf numFmtId="0" fontId="3" fillId="0" borderId="1" xfId="0" applyFont="1" applyBorder="1" applyAlignment="1">
      <alignment horizontal="center" vertical="top"/>
    </xf>
    <xf numFmtId="0" fontId="4" fillId="0" borderId="0" xfId="0" applyFont="1"/>
    <xf numFmtId="0" fontId="5" fillId="0" borderId="0" xfId="0" applyFont="1" applyAlignment="1">
      <alignment vertical="center" wrapText="1"/>
    </xf>
    <xf numFmtId="0" fontId="2" fillId="0" borderId="0" xfId="0" applyFont="1"/>
    <xf numFmtId="0" fontId="6" fillId="0" borderId="0" xfId="0" applyFont="1"/>
    <xf numFmtId="0" fontId="7" fillId="0" borderId="0" xfId="0" applyFont="1"/>
    <xf numFmtId="0" fontId="8" fillId="0" borderId="0" xfId="0" applyFont="1"/>
    <xf numFmtId="0" fontId="9" fillId="0" borderId="0" xfId="0" applyFont="1"/>
    <xf numFmtId="0" fontId="2" fillId="0" borderId="0" xfId="0" applyFont="1" applyAlignment="1">
      <alignment wrapText="1"/>
    </xf>
    <xf numFmtId="0" fontId="0" fillId="0" borderId="0" xfId="0" pivotButton="1"/>
    <xf numFmtId="0" fontId="0" fillId="0" borderId="0" xfId="0" applyAlignment="1">
      <alignment horizontal="left"/>
    </xf>
    <xf numFmtId="0" fontId="3" fillId="2" borderId="0" xfId="0" applyFont="1" applyFill="1"/>
    <xf numFmtId="0" fontId="0" fillId="2" borderId="0" xfId="0" applyFill="1"/>
    <xf numFmtId="0" fontId="2" fillId="2" borderId="0" xfId="0" applyFont="1" applyFill="1"/>
    <xf numFmtId="0" fontId="1" fillId="0" borderId="0" xfId="0" applyFont="1"/>
    <xf numFmtId="0" fontId="10" fillId="0" borderId="0" xfId="0" applyFont="1"/>
    <xf numFmtId="0" fontId="11" fillId="0" borderId="0" xfId="0" applyFont="1"/>
    <xf numFmtId="0" fontId="7" fillId="2" borderId="0" xfId="0" applyFont="1" applyFill="1"/>
    <xf numFmtId="11" fontId="2" fillId="2" borderId="0" xfId="0" applyNumberFormat="1" applyFont="1" applyFill="1"/>
    <xf numFmtId="0" fontId="2" fillId="2" borderId="0" xfId="0" applyFont="1" applyFill="1" applyAlignment="1">
      <alignment vertical="center" wrapText="1"/>
    </xf>
    <xf numFmtId="0" fontId="3" fillId="2" borderId="0" xfId="0" applyFont="1" applyFill="1" applyAlignment="1">
      <alignment horizontal="center" vertical="center" wrapText="1"/>
    </xf>
    <xf numFmtId="0" fontId="3" fillId="2" borderId="0" xfId="0" applyFont="1" applyFill="1" applyAlignment="1">
      <alignment vertical="center" wrapText="1"/>
    </xf>
    <xf numFmtId="0" fontId="2" fillId="3" borderId="0" xfId="0" applyFont="1"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yuday Mishra" refreshedDate="45954.704018171295" createdVersion="8" refreshedVersion="8" minRefreshableVersion="3" recordCount="736" xr:uid="{5EEB1661-3C30-42C6-8A95-0D347FF8FA72}">
  <cacheSource type="worksheet">
    <worksheetSource ref="A1:I1048576" sheet="Sheet1"/>
  </cacheSource>
  <cacheFields count="9">
    <cacheField name="Store_ID" numFmtId="0">
      <sharedItems containsString="0" containsBlank="1" containsNumber="1" containsInteger="1" minValue="1" maxValue="15"/>
    </cacheField>
    <cacheField name="Store_Name" numFmtId="0">
      <sharedItems containsBlank="1" count="16">
        <s v="Store_1"/>
        <s v="Store_2"/>
        <s v="Store_3"/>
        <s v="Store_4"/>
        <s v="Store_5"/>
        <s v="Store_6"/>
        <s v="Store_7"/>
        <s v="Store_8"/>
        <s v="Store_9"/>
        <s v="Store_10"/>
        <s v="Store_11"/>
        <s v="Store_12"/>
        <s v="Store_13"/>
        <s v="Store_14"/>
        <s v="Store_15"/>
        <m/>
      </sharedItems>
    </cacheField>
    <cacheField name="Location" numFmtId="0">
      <sharedItems containsBlank="1"/>
    </cacheField>
    <cacheField name="Month" numFmtId="0">
      <sharedItems containsBlank="1" count="13">
        <s v="Jan"/>
        <s v="Feb"/>
        <s v="Mar"/>
        <s v="Apr"/>
        <s v="May"/>
        <s v="Jun"/>
        <s v="Jul"/>
        <s v="Aug"/>
        <s v="Sep"/>
        <s v="Oct"/>
        <s v="Nov"/>
        <s v="Dec"/>
        <m/>
      </sharedItems>
    </cacheField>
    <cacheField name="Product_Category" numFmtId="0">
      <sharedItems containsBlank="1" count="5">
        <s v="Smartphones"/>
        <s v="Laptops"/>
        <s v="Tablets"/>
        <s v="Accessories"/>
        <m/>
      </sharedItems>
    </cacheField>
    <cacheField name="Units_Sold" numFmtId="0">
      <sharedItems containsString="0" containsBlank="1" containsNumber="1" containsInteger="1" minValue="100" maxValue="1197"/>
    </cacheField>
    <cacheField name="Unit_Price_Rs" numFmtId="0">
      <sharedItems containsString="0" containsBlank="1" containsNumber="1" minValue="928.75" maxValue="23948.880000000001"/>
    </cacheField>
    <cacheField name="Total_Sales_Rs" numFmtId="0">
      <sharedItems containsString="0" containsBlank="1" containsNumber="1" containsInteger="1" minValue="405864" maxValue="6585181"/>
    </cacheField>
    <cacheField name="Customer_Count" numFmtId="0">
      <sharedItems containsString="0" containsBlank="1" containsNumber="1" containsInteger="1" minValue="71" maxValue="111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6">
  <r>
    <n v="1"/>
    <x v="0"/>
    <s v="Chennai"/>
    <x v="0"/>
    <x v="0"/>
    <n v="1013"/>
    <n v="5183.82"/>
    <n v="5251214"/>
    <n v="755"/>
  </r>
  <r>
    <n v="1"/>
    <x v="0"/>
    <s v="Chennai"/>
    <x v="0"/>
    <x v="1"/>
    <n v="157"/>
    <n v="21079.86"/>
    <n v="3309539"/>
    <n v="130"/>
  </r>
  <r>
    <n v="1"/>
    <x v="0"/>
    <s v="Chennai"/>
    <x v="0"/>
    <x v="2"/>
    <n v="435"/>
    <n v="6706.67"/>
    <n v="2917400"/>
    <n v="347"/>
  </r>
  <r>
    <n v="1"/>
    <x v="0"/>
    <s v="Chennai"/>
    <x v="0"/>
    <x v="3"/>
    <n v="875"/>
    <n v="1157.22"/>
    <n v="1012568"/>
    <n v="825"/>
  </r>
  <r>
    <n v="1"/>
    <x v="0"/>
    <s v="Chennai"/>
    <x v="1"/>
    <x v="0"/>
    <n v="789"/>
    <n v="5344.42"/>
    <n v="4216744"/>
    <n v="627"/>
  </r>
  <r>
    <n v="1"/>
    <x v="0"/>
    <s v="Chennai"/>
    <x v="1"/>
    <x v="1"/>
    <n v="163"/>
    <n v="20885.62"/>
    <n v="3404356"/>
    <n v="133"/>
  </r>
  <r>
    <n v="1"/>
    <x v="0"/>
    <s v="Chennai"/>
    <x v="1"/>
    <x v="2"/>
    <n v="334"/>
    <n v="6519.92"/>
    <n v="2177655"/>
    <n v="241"/>
  </r>
  <r>
    <n v="1"/>
    <x v="0"/>
    <s v="Chennai"/>
    <x v="1"/>
    <x v="3"/>
    <n v="739"/>
    <n v="1294.74"/>
    <n v="956816"/>
    <n v="561"/>
  </r>
  <r>
    <n v="1"/>
    <x v="0"/>
    <s v="Chennai"/>
    <x v="2"/>
    <x v="0"/>
    <n v="1054"/>
    <n v="5526.05"/>
    <n v="5824452"/>
    <n v="783"/>
  </r>
  <r>
    <n v="1"/>
    <x v="0"/>
    <s v="Chennai"/>
    <x v="2"/>
    <x v="1"/>
    <n v="180"/>
    <n v="21798.5"/>
    <n v="3923729"/>
    <n v="137"/>
  </r>
  <r>
    <n v="1"/>
    <x v="0"/>
    <s v="Chennai"/>
    <x v="2"/>
    <x v="2"/>
    <n v="201"/>
    <n v="6286.62"/>
    <n v="1263610"/>
    <n v="169"/>
  </r>
  <r>
    <n v="1"/>
    <x v="0"/>
    <s v="Chennai"/>
    <x v="2"/>
    <x v="3"/>
    <n v="876"/>
    <n v="1164.69"/>
    <n v="1020267"/>
    <n v="825"/>
  </r>
  <r>
    <n v="1"/>
    <x v="0"/>
    <s v="Chennai"/>
    <x v="3"/>
    <x v="0"/>
    <n v="1155"/>
    <n v="5447.69"/>
    <n v="6292086"/>
    <n v="834"/>
  </r>
  <r>
    <n v="1"/>
    <x v="0"/>
    <s v="Chennai"/>
    <x v="3"/>
    <x v="1"/>
    <n v="139"/>
    <n v="21637.09"/>
    <n v="3007556"/>
    <n v="126"/>
  </r>
  <r>
    <n v="1"/>
    <x v="0"/>
    <s v="Chennai"/>
    <x v="3"/>
    <x v="2"/>
    <n v="436"/>
    <n v="6932.11"/>
    <n v="3022400"/>
    <n v="344"/>
  </r>
  <r>
    <n v="1"/>
    <x v="0"/>
    <s v="Chennai"/>
    <x v="3"/>
    <x v="3"/>
    <n v="1163"/>
    <n v="1146.19"/>
    <n v="1333014"/>
    <n v="990"/>
  </r>
  <r>
    <n v="1"/>
    <x v="0"/>
    <s v="Chennai"/>
    <x v="4"/>
    <x v="0"/>
    <n v="1092"/>
    <n v="5364.82"/>
    <n v="5858380"/>
    <n v="784"/>
  </r>
  <r>
    <n v="1"/>
    <x v="0"/>
    <s v="Chennai"/>
    <x v="4"/>
    <x v="1"/>
    <n v="170"/>
    <n v="21191.93"/>
    <n v="3602629"/>
    <n v="136"/>
  </r>
  <r>
    <n v="1"/>
    <x v="0"/>
    <s v="Chennai"/>
    <x v="4"/>
    <x v="2"/>
    <n v="328"/>
    <n v="6874.64"/>
    <n v="2254881"/>
    <n v="289"/>
  </r>
  <r>
    <n v="1"/>
    <x v="0"/>
    <s v="Chennai"/>
    <x v="4"/>
    <x v="3"/>
    <n v="688"/>
    <n v="1288.77"/>
    <n v="886677"/>
    <n v="585"/>
  </r>
  <r>
    <n v="1"/>
    <x v="0"/>
    <s v="Chennai"/>
    <x v="5"/>
    <x v="0"/>
    <n v="1089"/>
    <n v="5132.16"/>
    <n v="5588918"/>
    <n v="997"/>
  </r>
  <r>
    <n v="1"/>
    <x v="0"/>
    <s v="Chennai"/>
    <x v="5"/>
    <x v="1"/>
    <n v="171"/>
    <n v="21252.63"/>
    <n v="3634200"/>
    <n v="138"/>
  </r>
  <r>
    <n v="1"/>
    <x v="0"/>
    <s v="Chennai"/>
    <x v="5"/>
    <x v="2"/>
    <n v="232"/>
    <n v="6646.68"/>
    <n v="1542030"/>
    <n v="181"/>
  </r>
  <r>
    <n v="1"/>
    <x v="0"/>
    <s v="Chennai"/>
    <x v="5"/>
    <x v="3"/>
    <n v="498"/>
    <n v="1158.96"/>
    <n v="577163"/>
    <n v="422"/>
  </r>
  <r>
    <n v="1"/>
    <x v="0"/>
    <s v="Chennai"/>
    <x v="6"/>
    <x v="0"/>
    <n v="1146"/>
    <n v="5092.43"/>
    <n v="5835929"/>
    <n v="1006"/>
  </r>
  <r>
    <n v="1"/>
    <x v="0"/>
    <s v="Chennai"/>
    <x v="6"/>
    <x v="1"/>
    <n v="100"/>
    <n v="21439.360000000001"/>
    <n v="2143936"/>
    <n v="88"/>
  </r>
  <r>
    <n v="1"/>
    <x v="0"/>
    <s v="Chennai"/>
    <x v="6"/>
    <x v="2"/>
    <n v="454"/>
    <n v="6515.54"/>
    <n v="2958054"/>
    <n v="367"/>
  </r>
  <r>
    <n v="1"/>
    <x v="0"/>
    <s v="Chennai"/>
    <x v="6"/>
    <x v="3"/>
    <n v="1090"/>
    <n v="1233.29"/>
    <n v="1344285"/>
    <n v="771"/>
  </r>
  <r>
    <n v="1"/>
    <x v="0"/>
    <s v="Chennai"/>
    <x v="7"/>
    <x v="0"/>
    <n v="840"/>
    <n v="5318.35"/>
    <n v="4467416"/>
    <n v="778"/>
  </r>
  <r>
    <n v="1"/>
    <x v="0"/>
    <s v="Chennai"/>
    <x v="7"/>
    <x v="1"/>
    <n v="242"/>
    <n v="19909.939999999999"/>
    <n v="4818207"/>
    <n v="215"/>
  </r>
  <r>
    <n v="1"/>
    <x v="0"/>
    <s v="Chennai"/>
    <x v="7"/>
    <x v="2"/>
    <n v="235"/>
    <n v="6740.73"/>
    <n v="1584071"/>
    <n v="205"/>
  </r>
  <r>
    <n v="1"/>
    <x v="0"/>
    <s v="Chennai"/>
    <x v="7"/>
    <x v="3"/>
    <n v="1195"/>
    <n v="1260.81"/>
    <n v="1506667"/>
    <n v="1114"/>
  </r>
  <r>
    <n v="1"/>
    <x v="0"/>
    <s v="Chennai"/>
    <x v="8"/>
    <x v="0"/>
    <n v="1156"/>
    <n v="5177.9399999999996"/>
    <n v="5985694"/>
    <n v="941"/>
  </r>
  <r>
    <n v="1"/>
    <x v="0"/>
    <s v="Chennai"/>
    <x v="8"/>
    <x v="1"/>
    <n v="207"/>
    <n v="21247.07"/>
    <n v="4398143"/>
    <n v="154"/>
  </r>
  <r>
    <n v="1"/>
    <x v="0"/>
    <s v="Chennai"/>
    <x v="8"/>
    <x v="2"/>
    <n v="485"/>
    <n v="6596.78"/>
    <n v="3199436"/>
    <n v="354"/>
  </r>
  <r>
    <n v="1"/>
    <x v="0"/>
    <s v="Chennai"/>
    <x v="8"/>
    <x v="3"/>
    <n v="872"/>
    <n v="1275.08"/>
    <n v="1111869"/>
    <n v="679"/>
  </r>
  <r>
    <n v="1"/>
    <x v="0"/>
    <s v="Chennai"/>
    <x v="9"/>
    <x v="0"/>
    <n v="824"/>
    <n v="5469.98"/>
    <n v="4507267"/>
    <n v="576"/>
  </r>
  <r>
    <n v="1"/>
    <x v="0"/>
    <s v="Chennai"/>
    <x v="9"/>
    <x v="1"/>
    <n v="102"/>
    <n v="20450.939999999999"/>
    <n v="2085996"/>
    <n v="71"/>
  </r>
  <r>
    <n v="1"/>
    <x v="0"/>
    <s v="Chennai"/>
    <x v="9"/>
    <x v="2"/>
    <n v="336"/>
    <n v="7283.53"/>
    <n v="2447268"/>
    <n v="257"/>
  </r>
  <r>
    <n v="1"/>
    <x v="0"/>
    <s v="Chennai"/>
    <x v="9"/>
    <x v="3"/>
    <n v="1063"/>
    <n v="1184.67"/>
    <n v="1259300"/>
    <n v="994"/>
  </r>
  <r>
    <n v="1"/>
    <x v="0"/>
    <s v="Chennai"/>
    <x v="10"/>
    <x v="0"/>
    <n v="973"/>
    <n v="5360.26"/>
    <n v="5215537"/>
    <n v="779"/>
  </r>
  <r>
    <n v="1"/>
    <x v="0"/>
    <s v="Chennai"/>
    <x v="10"/>
    <x v="1"/>
    <n v="161"/>
    <n v="20333.189999999999"/>
    <n v="3273643"/>
    <n v="151"/>
  </r>
  <r>
    <n v="1"/>
    <x v="0"/>
    <s v="Chennai"/>
    <x v="10"/>
    <x v="2"/>
    <n v="251"/>
    <n v="6945.36"/>
    <n v="1743286"/>
    <n v="220"/>
  </r>
  <r>
    <n v="1"/>
    <x v="0"/>
    <s v="Chennai"/>
    <x v="10"/>
    <x v="3"/>
    <n v="1012"/>
    <n v="1094.54"/>
    <n v="1107674"/>
    <n v="780"/>
  </r>
  <r>
    <n v="1"/>
    <x v="0"/>
    <s v="Chennai"/>
    <x v="11"/>
    <x v="0"/>
    <n v="680"/>
    <n v="5211.6499999999996"/>
    <n v="3543920"/>
    <n v="534"/>
  </r>
  <r>
    <n v="1"/>
    <x v="0"/>
    <s v="Chennai"/>
    <x v="11"/>
    <x v="1"/>
    <n v="228"/>
    <n v="21432.67"/>
    <n v="4886648"/>
    <n v="173"/>
  </r>
  <r>
    <n v="1"/>
    <x v="0"/>
    <s v="Chennai"/>
    <x v="11"/>
    <x v="2"/>
    <n v="329"/>
    <n v="5950.37"/>
    <n v="1957672"/>
    <n v="275"/>
  </r>
  <r>
    <n v="1"/>
    <x v="0"/>
    <s v="Chennai"/>
    <x v="11"/>
    <x v="3"/>
    <n v="646"/>
    <n v="1348.03"/>
    <n v="870829"/>
    <n v="560"/>
  </r>
  <r>
    <n v="2"/>
    <x v="1"/>
    <s v="Pune"/>
    <x v="0"/>
    <x v="0"/>
    <n v="802"/>
    <n v="5035.62"/>
    <n v="4038571"/>
    <n v="722"/>
  </r>
  <r>
    <n v="2"/>
    <x v="1"/>
    <s v="Pune"/>
    <x v="0"/>
    <x v="1"/>
    <n v="168"/>
    <n v="20965.400000000001"/>
    <n v="3522188"/>
    <n v="144"/>
  </r>
  <r>
    <n v="2"/>
    <x v="1"/>
    <s v="Pune"/>
    <x v="0"/>
    <x v="2"/>
    <n v="397"/>
    <n v="7065.42"/>
    <n v="2804970"/>
    <n v="357"/>
  </r>
  <r>
    <n v="2"/>
    <x v="1"/>
    <s v="Pune"/>
    <x v="0"/>
    <x v="3"/>
    <n v="600"/>
    <n v="1161.05"/>
    <n v="696633"/>
    <n v="468"/>
  </r>
  <r>
    <n v="2"/>
    <x v="1"/>
    <s v="Pune"/>
    <x v="1"/>
    <x v="0"/>
    <n v="925"/>
    <n v="5457.93"/>
    <n v="5048589"/>
    <n v="722"/>
  </r>
  <r>
    <n v="2"/>
    <x v="1"/>
    <s v="Pune"/>
    <x v="1"/>
    <x v="1"/>
    <n v="246"/>
    <n v="21845.19"/>
    <n v="5373917"/>
    <n v="215"/>
  </r>
  <r>
    <n v="2"/>
    <x v="1"/>
    <s v="Pune"/>
    <x v="1"/>
    <x v="2"/>
    <n v="346"/>
    <n v="6483.91"/>
    <n v="2243433"/>
    <n v="323"/>
  </r>
  <r>
    <n v="2"/>
    <x v="1"/>
    <s v="Pune"/>
    <x v="1"/>
    <x v="3"/>
    <n v="1039"/>
    <n v="1173.01"/>
    <n v="1218754"/>
    <n v="861"/>
  </r>
  <r>
    <n v="2"/>
    <x v="1"/>
    <s v="Pune"/>
    <x v="2"/>
    <x v="0"/>
    <n v="1072"/>
    <n v="5341.13"/>
    <n v="5725691"/>
    <n v="936"/>
  </r>
  <r>
    <n v="2"/>
    <x v="1"/>
    <s v="Pune"/>
    <x v="2"/>
    <x v="1"/>
    <n v="106"/>
    <n v="20345.21"/>
    <n v="2156593"/>
    <n v="91"/>
  </r>
  <r>
    <n v="2"/>
    <x v="1"/>
    <s v="Pune"/>
    <x v="2"/>
    <x v="2"/>
    <n v="311"/>
    <n v="7109.17"/>
    <n v="2210951"/>
    <n v="236"/>
  </r>
  <r>
    <n v="2"/>
    <x v="1"/>
    <s v="Pune"/>
    <x v="2"/>
    <x v="3"/>
    <n v="703"/>
    <n v="1453.92"/>
    <n v="1022103"/>
    <n v="661"/>
  </r>
  <r>
    <n v="2"/>
    <x v="1"/>
    <s v="Pune"/>
    <x v="3"/>
    <x v="0"/>
    <n v="1052"/>
    <n v="5351.98"/>
    <n v="5630279"/>
    <n v="825"/>
  </r>
  <r>
    <n v="2"/>
    <x v="1"/>
    <s v="Pune"/>
    <x v="3"/>
    <x v="1"/>
    <n v="198"/>
    <n v="22125.46"/>
    <n v="4380841"/>
    <n v="173"/>
  </r>
  <r>
    <n v="2"/>
    <x v="1"/>
    <s v="Pune"/>
    <x v="3"/>
    <x v="2"/>
    <n v="407"/>
    <n v="6885.29"/>
    <n v="2802314"/>
    <n v="293"/>
  </r>
  <r>
    <n v="2"/>
    <x v="1"/>
    <s v="Pune"/>
    <x v="3"/>
    <x v="3"/>
    <n v="819"/>
    <n v="1321.71"/>
    <n v="1082478"/>
    <n v="757"/>
  </r>
  <r>
    <n v="2"/>
    <x v="1"/>
    <s v="Pune"/>
    <x v="4"/>
    <x v="0"/>
    <n v="853"/>
    <n v="5334.97"/>
    <n v="4550727"/>
    <n v="744"/>
  </r>
  <r>
    <n v="2"/>
    <x v="1"/>
    <s v="Pune"/>
    <x v="4"/>
    <x v="1"/>
    <n v="167"/>
    <n v="20526.52"/>
    <n v="3427928"/>
    <n v="126"/>
  </r>
  <r>
    <n v="2"/>
    <x v="1"/>
    <s v="Pune"/>
    <x v="4"/>
    <x v="2"/>
    <n v="476"/>
    <n v="6561.24"/>
    <n v="3123151"/>
    <n v="421"/>
  </r>
  <r>
    <n v="2"/>
    <x v="1"/>
    <s v="Pune"/>
    <x v="4"/>
    <x v="3"/>
    <n v="594"/>
    <n v="1088.75"/>
    <n v="646718"/>
    <n v="513"/>
  </r>
  <r>
    <n v="2"/>
    <x v="1"/>
    <s v="Pune"/>
    <x v="5"/>
    <x v="0"/>
    <n v="632"/>
    <n v="5426.85"/>
    <n v="3429768"/>
    <n v="542"/>
  </r>
  <r>
    <n v="2"/>
    <x v="1"/>
    <s v="Pune"/>
    <x v="5"/>
    <x v="1"/>
    <n v="121"/>
    <n v="23948.880000000001"/>
    <n v="2897814"/>
    <n v="92"/>
  </r>
  <r>
    <n v="2"/>
    <x v="1"/>
    <s v="Pune"/>
    <x v="5"/>
    <x v="2"/>
    <n v="237"/>
    <n v="6696.57"/>
    <n v="1587086"/>
    <n v="219"/>
  </r>
  <r>
    <n v="2"/>
    <x v="1"/>
    <s v="Pune"/>
    <x v="5"/>
    <x v="3"/>
    <n v="426"/>
    <n v="1241.3399999999999"/>
    <n v="528809"/>
    <n v="382"/>
  </r>
  <r>
    <n v="2"/>
    <x v="1"/>
    <s v="Pune"/>
    <x v="6"/>
    <x v="0"/>
    <n v="883"/>
    <n v="5470.02"/>
    <n v="4830031"/>
    <n v="668"/>
  </r>
  <r>
    <n v="2"/>
    <x v="1"/>
    <s v="Pune"/>
    <x v="6"/>
    <x v="1"/>
    <n v="147"/>
    <n v="21815.47"/>
    <n v="3206874"/>
    <n v="113"/>
  </r>
  <r>
    <n v="2"/>
    <x v="1"/>
    <s v="Pune"/>
    <x v="6"/>
    <x v="2"/>
    <n v="234"/>
    <n v="6696.53"/>
    <n v="1566987"/>
    <n v="180"/>
  </r>
  <r>
    <n v="2"/>
    <x v="1"/>
    <s v="Pune"/>
    <x v="6"/>
    <x v="3"/>
    <n v="917"/>
    <n v="1219.06"/>
    <n v="1117878"/>
    <n v="726"/>
  </r>
  <r>
    <n v="2"/>
    <x v="1"/>
    <s v="Pune"/>
    <x v="7"/>
    <x v="0"/>
    <n v="636"/>
    <n v="5275.17"/>
    <n v="3355010"/>
    <n v="598"/>
  </r>
  <r>
    <n v="2"/>
    <x v="1"/>
    <s v="Pune"/>
    <x v="7"/>
    <x v="1"/>
    <n v="198"/>
    <n v="22092.27"/>
    <n v="4374270"/>
    <n v="187"/>
  </r>
  <r>
    <n v="2"/>
    <x v="1"/>
    <s v="Pune"/>
    <x v="7"/>
    <x v="2"/>
    <n v="315"/>
    <n v="6445.96"/>
    <n v="2030478"/>
    <n v="287"/>
  </r>
  <r>
    <n v="2"/>
    <x v="1"/>
    <s v="Pune"/>
    <x v="7"/>
    <x v="3"/>
    <n v="655"/>
    <n v="1048.52"/>
    <n v="686778"/>
    <n v="537"/>
  </r>
  <r>
    <n v="2"/>
    <x v="1"/>
    <s v="Pune"/>
    <x v="8"/>
    <x v="0"/>
    <n v="617"/>
    <n v="5442.02"/>
    <n v="3357727"/>
    <n v="539"/>
  </r>
  <r>
    <n v="2"/>
    <x v="1"/>
    <s v="Pune"/>
    <x v="8"/>
    <x v="1"/>
    <n v="203"/>
    <n v="21573.98"/>
    <n v="4379519"/>
    <n v="145"/>
  </r>
  <r>
    <n v="2"/>
    <x v="1"/>
    <s v="Pune"/>
    <x v="8"/>
    <x v="2"/>
    <n v="313"/>
    <n v="6717.46"/>
    <n v="2102566"/>
    <n v="287"/>
  </r>
  <r>
    <n v="2"/>
    <x v="1"/>
    <s v="Pune"/>
    <x v="8"/>
    <x v="3"/>
    <n v="1184"/>
    <n v="1085.7"/>
    <n v="1285472"/>
    <n v="1080"/>
  </r>
  <r>
    <n v="2"/>
    <x v="1"/>
    <s v="Pune"/>
    <x v="9"/>
    <x v="0"/>
    <n v="992"/>
    <n v="5108.2"/>
    <n v="5067333"/>
    <n v="767"/>
  </r>
  <r>
    <n v="2"/>
    <x v="1"/>
    <s v="Pune"/>
    <x v="9"/>
    <x v="1"/>
    <n v="125"/>
    <n v="22605.599999999999"/>
    <n v="2825700"/>
    <n v="112"/>
  </r>
  <r>
    <n v="2"/>
    <x v="1"/>
    <s v="Pune"/>
    <x v="9"/>
    <x v="2"/>
    <n v="212"/>
    <n v="6345.02"/>
    <n v="1345144"/>
    <n v="152"/>
  </r>
  <r>
    <n v="2"/>
    <x v="1"/>
    <s v="Pune"/>
    <x v="9"/>
    <x v="3"/>
    <n v="799"/>
    <n v="1249.5"/>
    <n v="998350"/>
    <n v="569"/>
  </r>
  <r>
    <n v="2"/>
    <x v="1"/>
    <s v="Pune"/>
    <x v="10"/>
    <x v="0"/>
    <n v="1070"/>
    <n v="5313.67"/>
    <n v="5685627"/>
    <n v="866"/>
  </r>
  <r>
    <n v="2"/>
    <x v="1"/>
    <s v="Pune"/>
    <x v="10"/>
    <x v="1"/>
    <n v="185"/>
    <n v="21172.47"/>
    <n v="3916907"/>
    <n v="144"/>
  </r>
  <r>
    <n v="2"/>
    <x v="1"/>
    <s v="Pune"/>
    <x v="10"/>
    <x v="2"/>
    <n v="385"/>
    <n v="6163.45"/>
    <n v="2372929"/>
    <n v="326"/>
  </r>
  <r>
    <n v="2"/>
    <x v="1"/>
    <s v="Pune"/>
    <x v="10"/>
    <x v="3"/>
    <n v="741"/>
    <n v="1235.73"/>
    <n v="915676"/>
    <n v="565"/>
  </r>
  <r>
    <n v="2"/>
    <x v="1"/>
    <s v="Pune"/>
    <x v="11"/>
    <x v="0"/>
    <n v="653"/>
    <n v="4901.6899999999996"/>
    <n v="3200805"/>
    <n v="592"/>
  </r>
  <r>
    <n v="2"/>
    <x v="1"/>
    <s v="Pune"/>
    <x v="11"/>
    <x v="1"/>
    <n v="159"/>
    <n v="21840.82"/>
    <n v="3472690"/>
    <n v="119"/>
  </r>
  <r>
    <n v="2"/>
    <x v="1"/>
    <s v="Pune"/>
    <x v="11"/>
    <x v="2"/>
    <n v="204"/>
    <n v="7063.12"/>
    <n v="1440876"/>
    <n v="152"/>
  </r>
  <r>
    <n v="2"/>
    <x v="1"/>
    <s v="Pune"/>
    <x v="11"/>
    <x v="3"/>
    <n v="749"/>
    <n v="1184.8800000000001"/>
    <n v="887472"/>
    <n v="625"/>
  </r>
  <r>
    <n v="3"/>
    <x v="2"/>
    <s v="Bangalore"/>
    <x v="0"/>
    <x v="0"/>
    <n v="868"/>
    <n v="5278.56"/>
    <n v="4581791"/>
    <n v="701"/>
  </r>
  <r>
    <n v="3"/>
    <x v="2"/>
    <s v="Bangalore"/>
    <x v="0"/>
    <x v="1"/>
    <n v="157"/>
    <n v="21111.03"/>
    <n v="3314431"/>
    <n v="112"/>
  </r>
  <r>
    <n v="3"/>
    <x v="2"/>
    <s v="Bangalore"/>
    <x v="0"/>
    <x v="2"/>
    <n v="428"/>
    <n v="7234.39"/>
    <n v="3096318"/>
    <n v="305"/>
  </r>
  <r>
    <n v="3"/>
    <x v="2"/>
    <s v="Bangalore"/>
    <x v="0"/>
    <x v="3"/>
    <n v="1033"/>
    <n v="1132.26"/>
    <n v="1169623"/>
    <n v="763"/>
  </r>
  <r>
    <n v="3"/>
    <x v="2"/>
    <s v="Bangalore"/>
    <x v="1"/>
    <x v="0"/>
    <n v="695"/>
    <n v="5653.09"/>
    <n v="3928898"/>
    <n v="601"/>
  </r>
  <r>
    <n v="3"/>
    <x v="2"/>
    <s v="Bangalore"/>
    <x v="1"/>
    <x v="1"/>
    <n v="216"/>
    <n v="21823.99"/>
    <n v="4713981"/>
    <n v="185"/>
  </r>
  <r>
    <n v="3"/>
    <x v="2"/>
    <s v="Bangalore"/>
    <x v="1"/>
    <x v="2"/>
    <n v="388"/>
    <n v="6813.19"/>
    <n v="2643517"/>
    <n v="330"/>
  </r>
  <r>
    <n v="3"/>
    <x v="2"/>
    <s v="Bangalore"/>
    <x v="1"/>
    <x v="3"/>
    <n v="646"/>
    <n v="1365.14"/>
    <n v="881877"/>
    <n v="459"/>
  </r>
  <r>
    <n v="3"/>
    <x v="2"/>
    <s v="Bangalore"/>
    <x v="2"/>
    <x v="0"/>
    <n v="753"/>
    <n v="5553.38"/>
    <n v="4181697"/>
    <n v="529"/>
  </r>
  <r>
    <n v="3"/>
    <x v="2"/>
    <s v="Bangalore"/>
    <x v="2"/>
    <x v="1"/>
    <n v="168"/>
    <n v="20933.86"/>
    <n v="3516889"/>
    <n v="121"/>
  </r>
  <r>
    <n v="3"/>
    <x v="2"/>
    <s v="Bangalore"/>
    <x v="2"/>
    <x v="2"/>
    <n v="293"/>
    <n v="6833.15"/>
    <n v="2002112"/>
    <n v="239"/>
  </r>
  <r>
    <n v="3"/>
    <x v="2"/>
    <s v="Bangalore"/>
    <x v="2"/>
    <x v="3"/>
    <n v="617"/>
    <n v="1277.46"/>
    <n v="788195"/>
    <n v="549"/>
  </r>
  <r>
    <n v="3"/>
    <x v="2"/>
    <s v="Bangalore"/>
    <x v="3"/>
    <x v="0"/>
    <n v="940"/>
    <n v="5041.01"/>
    <n v="4738551"/>
    <n v="759"/>
  </r>
  <r>
    <n v="3"/>
    <x v="2"/>
    <s v="Bangalore"/>
    <x v="3"/>
    <x v="1"/>
    <n v="122"/>
    <n v="21415.91"/>
    <n v="2612740"/>
    <n v="86"/>
  </r>
  <r>
    <n v="3"/>
    <x v="2"/>
    <s v="Bangalore"/>
    <x v="3"/>
    <x v="2"/>
    <n v="445"/>
    <n v="6567.99"/>
    <n v="2922754"/>
    <n v="353"/>
  </r>
  <r>
    <n v="3"/>
    <x v="2"/>
    <s v="Bangalore"/>
    <x v="3"/>
    <x v="3"/>
    <n v="1161"/>
    <n v="1213.07"/>
    <n v="1408379"/>
    <n v="1083"/>
  </r>
  <r>
    <n v="3"/>
    <x v="2"/>
    <s v="Bangalore"/>
    <x v="4"/>
    <x v="0"/>
    <n v="924"/>
    <n v="5494.53"/>
    <n v="5076943"/>
    <n v="864"/>
  </r>
  <r>
    <n v="3"/>
    <x v="2"/>
    <s v="Bangalore"/>
    <x v="4"/>
    <x v="1"/>
    <n v="101"/>
    <n v="22735.58"/>
    <n v="2296294"/>
    <n v="71"/>
  </r>
  <r>
    <n v="3"/>
    <x v="2"/>
    <s v="Bangalore"/>
    <x v="4"/>
    <x v="2"/>
    <n v="359"/>
    <n v="6734.06"/>
    <n v="2417526"/>
    <n v="286"/>
  </r>
  <r>
    <n v="3"/>
    <x v="2"/>
    <s v="Bangalore"/>
    <x v="4"/>
    <x v="3"/>
    <n v="779"/>
    <n v="1266.21"/>
    <n v="986380"/>
    <n v="570"/>
  </r>
  <r>
    <n v="3"/>
    <x v="2"/>
    <s v="Bangalore"/>
    <x v="5"/>
    <x v="0"/>
    <n v="1026"/>
    <n v="5269.64"/>
    <n v="5406654"/>
    <n v="964"/>
  </r>
  <r>
    <n v="3"/>
    <x v="2"/>
    <s v="Bangalore"/>
    <x v="5"/>
    <x v="1"/>
    <n v="173"/>
    <n v="21970.65"/>
    <n v="3800923"/>
    <n v="130"/>
  </r>
  <r>
    <n v="3"/>
    <x v="2"/>
    <s v="Bangalore"/>
    <x v="5"/>
    <x v="2"/>
    <n v="484"/>
    <n v="6554.07"/>
    <n v="3172170"/>
    <n v="377"/>
  </r>
  <r>
    <n v="3"/>
    <x v="2"/>
    <s v="Bangalore"/>
    <x v="5"/>
    <x v="3"/>
    <n v="1001"/>
    <n v="1220.76"/>
    <n v="1221981"/>
    <n v="785"/>
  </r>
  <r>
    <n v="3"/>
    <x v="2"/>
    <s v="Bangalore"/>
    <x v="6"/>
    <x v="0"/>
    <n v="714"/>
    <n v="5175.55"/>
    <n v="3695345"/>
    <n v="624"/>
  </r>
  <r>
    <n v="3"/>
    <x v="2"/>
    <s v="Bangalore"/>
    <x v="6"/>
    <x v="1"/>
    <n v="174"/>
    <n v="21215.61"/>
    <n v="3691516"/>
    <n v="159"/>
  </r>
  <r>
    <n v="3"/>
    <x v="2"/>
    <s v="Bangalore"/>
    <x v="6"/>
    <x v="2"/>
    <n v="416"/>
    <n v="6511.09"/>
    <n v="2708613"/>
    <n v="309"/>
  </r>
  <r>
    <n v="3"/>
    <x v="2"/>
    <s v="Bangalore"/>
    <x v="6"/>
    <x v="3"/>
    <n v="856"/>
    <n v="1287.68"/>
    <n v="1102250"/>
    <n v="720"/>
  </r>
  <r>
    <n v="3"/>
    <x v="2"/>
    <s v="Bangalore"/>
    <x v="7"/>
    <x v="0"/>
    <n v="698"/>
    <n v="4942.47"/>
    <n v="3449841"/>
    <n v="624"/>
  </r>
  <r>
    <n v="3"/>
    <x v="2"/>
    <s v="Bangalore"/>
    <x v="7"/>
    <x v="1"/>
    <n v="136"/>
    <n v="20523.54"/>
    <n v="2791202"/>
    <n v="103"/>
  </r>
  <r>
    <n v="3"/>
    <x v="2"/>
    <s v="Bangalore"/>
    <x v="7"/>
    <x v="2"/>
    <n v="382"/>
    <n v="6947.62"/>
    <n v="2653993"/>
    <n v="277"/>
  </r>
  <r>
    <n v="3"/>
    <x v="2"/>
    <s v="Bangalore"/>
    <x v="7"/>
    <x v="3"/>
    <n v="672"/>
    <n v="1281.3499999999999"/>
    <n v="861068"/>
    <n v="560"/>
  </r>
  <r>
    <n v="3"/>
    <x v="2"/>
    <s v="Bangalore"/>
    <x v="8"/>
    <x v="0"/>
    <n v="1195"/>
    <n v="5195.3599999999997"/>
    <n v="6208458"/>
    <n v="1104"/>
  </r>
  <r>
    <n v="3"/>
    <x v="2"/>
    <s v="Bangalore"/>
    <x v="8"/>
    <x v="1"/>
    <n v="199"/>
    <n v="22259.31"/>
    <n v="4429604"/>
    <n v="139"/>
  </r>
  <r>
    <n v="3"/>
    <x v="2"/>
    <s v="Bangalore"/>
    <x v="8"/>
    <x v="2"/>
    <n v="432"/>
    <n v="6576.61"/>
    <n v="2841097"/>
    <n v="405"/>
  </r>
  <r>
    <n v="3"/>
    <x v="2"/>
    <s v="Bangalore"/>
    <x v="8"/>
    <x v="3"/>
    <n v="1134"/>
    <n v="1298.4000000000001"/>
    <n v="1472388"/>
    <n v="1063"/>
  </r>
  <r>
    <n v="3"/>
    <x v="2"/>
    <s v="Bangalore"/>
    <x v="9"/>
    <x v="0"/>
    <n v="1105"/>
    <n v="5136.3599999999997"/>
    <n v="5675673"/>
    <n v="854"/>
  </r>
  <r>
    <n v="3"/>
    <x v="2"/>
    <s v="Bangalore"/>
    <x v="9"/>
    <x v="1"/>
    <n v="124"/>
    <n v="23173.91"/>
    <n v="2873565"/>
    <n v="103"/>
  </r>
  <r>
    <n v="3"/>
    <x v="2"/>
    <s v="Bangalore"/>
    <x v="9"/>
    <x v="2"/>
    <n v="252"/>
    <n v="6887.24"/>
    <n v="1735583"/>
    <n v="182"/>
  </r>
  <r>
    <n v="3"/>
    <x v="2"/>
    <s v="Bangalore"/>
    <x v="9"/>
    <x v="3"/>
    <n v="441"/>
    <n v="1262.83"/>
    <n v="556910"/>
    <n v="416"/>
  </r>
  <r>
    <n v="3"/>
    <x v="2"/>
    <s v="Bangalore"/>
    <x v="10"/>
    <x v="0"/>
    <n v="997"/>
    <n v="4882"/>
    <n v="4867350"/>
    <n v="919"/>
  </r>
  <r>
    <n v="3"/>
    <x v="2"/>
    <s v="Bangalore"/>
    <x v="10"/>
    <x v="1"/>
    <n v="174"/>
    <n v="22916.35"/>
    <n v="3987444"/>
    <n v="126"/>
  </r>
  <r>
    <n v="3"/>
    <x v="2"/>
    <s v="Bangalore"/>
    <x v="10"/>
    <x v="2"/>
    <n v="275"/>
    <n v="6966.7"/>
    <n v="1915841"/>
    <n v="252"/>
  </r>
  <r>
    <n v="3"/>
    <x v="2"/>
    <s v="Bangalore"/>
    <x v="10"/>
    <x v="3"/>
    <n v="629"/>
    <n v="1249.6099999999999"/>
    <n v="786002"/>
    <n v="453"/>
  </r>
  <r>
    <n v="3"/>
    <x v="2"/>
    <s v="Bangalore"/>
    <x v="11"/>
    <x v="0"/>
    <n v="767"/>
    <n v="5205.79"/>
    <n v="3992843"/>
    <n v="553"/>
  </r>
  <r>
    <n v="3"/>
    <x v="2"/>
    <s v="Bangalore"/>
    <x v="11"/>
    <x v="1"/>
    <n v="182"/>
    <n v="21685.64"/>
    <n v="3946786"/>
    <n v="153"/>
  </r>
  <r>
    <n v="3"/>
    <x v="2"/>
    <s v="Bangalore"/>
    <x v="11"/>
    <x v="2"/>
    <n v="344"/>
    <n v="6500.73"/>
    <n v="2236252"/>
    <n v="247"/>
  </r>
  <r>
    <n v="3"/>
    <x v="2"/>
    <s v="Bangalore"/>
    <x v="11"/>
    <x v="3"/>
    <n v="844"/>
    <n v="1336.01"/>
    <n v="1127593"/>
    <n v="670"/>
  </r>
  <r>
    <n v="4"/>
    <x v="3"/>
    <s v="Pune"/>
    <x v="0"/>
    <x v="0"/>
    <n v="766"/>
    <n v="5471.53"/>
    <n v="4191193"/>
    <n v="557"/>
  </r>
  <r>
    <n v="4"/>
    <x v="3"/>
    <s v="Pune"/>
    <x v="0"/>
    <x v="1"/>
    <n v="240"/>
    <n v="21372.05"/>
    <n v="5129292"/>
    <n v="192"/>
  </r>
  <r>
    <n v="4"/>
    <x v="3"/>
    <s v="Pune"/>
    <x v="0"/>
    <x v="2"/>
    <n v="325"/>
    <n v="6796.82"/>
    <n v="2208965"/>
    <n v="288"/>
  </r>
  <r>
    <n v="4"/>
    <x v="3"/>
    <s v="Pune"/>
    <x v="0"/>
    <x v="3"/>
    <n v="747"/>
    <n v="1117.28"/>
    <n v="834606"/>
    <n v="702"/>
  </r>
  <r>
    <n v="4"/>
    <x v="3"/>
    <s v="Pune"/>
    <x v="1"/>
    <x v="0"/>
    <n v="790"/>
    <n v="5130.6099999999997"/>
    <n v="4053184"/>
    <n v="657"/>
  </r>
  <r>
    <n v="4"/>
    <x v="3"/>
    <s v="Pune"/>
    <x v="1"/>
    <x v="1"/>
    <n v="216"/>
    <n v="21463.8"/>
    <n v="4636181"/>
    <n v="203"/>
  </r>
  <r>
    <n v="4"/>
    <x v="3"/>
    <s v="Pune"/>
    <x v="1"/>
    <x v="2"/>
    <n v="243"/>
    <n v="6713.68"/>
    <n v="1631425"/>
    <n v="189"/>
  </r>
  <r>
    <n v="4"/>
    <x v="3"/>
    <s v="Pune"/>
    <x v="1"/>
    <x v="3"/>
    <n v="479"/>
    <n v="1238.92"/>
    <n v="593442"/>
    <n v="398"/>
  </r>
  <r>
    <n v="4"/>
    <x v="3"/>
    <s v="Pune"/>
    <x v="2"/>
    <x v="0"/>
    <n v="802"/>
    <n v="5266.39"/>
    <n v="4223641"/>
    <n v="700"/>
  </r>
  <r>
    <n v="4"/>
    <x v="3"/>
    <s v="Pune"/>
    <x v="2"/>
    <x v="1"/>
    <n v="245"/>
    <n v="21728.14"/>
    <n v="5323394"/>
    <n v="181"/>
  </r>
  <r>
    <n v="4"/>
    <x v="3"/>
    <s v="Pune"/>
    <x v="2"/>
    <x v="2"/>
    <n v="213"/>
    <n v="6430.83"/>
    <n v="1369767"/>
    <n v="188"/>
  </r>
  <r>
    <n v="4"/>
    <x v="3"/>
    <s v="Pune"/>
    <x v="2"/>
    <x v="3"/>
    <n v="411"/>
    <n v="1352.58"/>
    <n v="555912"/>
    <n v="386"/>
  </r>
  <r>
    <n v="4"/>
    <x v="3"/>
    <s v="Pune"/>
    <x v="3"/>
    <x v="0"/>
    <n v="957"/>
    <n v="5737.96"/>
    <n v="5491228"/>
    <n v="736"/>
  </r>
  <r>
    <n v="4"/>
    <x v="3"/>
    <s v="Pune"/>
    <x v="3"/>
    <x v="1"/>
    <n v="191"/>
    <n v="20853.36"/>
    <n v="3982992"/>
    <n v="164"/>
  </r>
  <r>
    <n v="4"/>
    <x v="3"/>
    <s v="Pune"/>
    <x v="3"/>
    <x v="2"/>
    <n v="335"/>
    <n v="7009.78"/>
    <n v="2348276"/>
    <n v="241"/>
  </r>
  <r>
    <n v="4"/>
    <x v="3"/>
    <s v="Pune"/>
    <x v="3"/>
    <x v="3"/>
    <n v="440"/>
    <n v="1018.99"/>
    <n v="448354"/>
    <n v="336"/>
  </r>
  <r>
    <n v="4"/>
    <x v="3"/>
    <s v="Pune"/>
    <x v="4"/>
    <x v="0"/>
    <n v="1101"/>
    <n v="5645.55"/>
    <n v="6215750"/>
    <n v="845"/>
  </r>
  <r>
    <n v="4"/>
    <x v="3"/>
    <s v="Pune"/>
    <x v="4"/>
    <x v="1"/>
    <n v="240"/>
    <n v="20305.919999999998"/>
    <n v="4873421"/>
    <n v="222"/>
  </r>
  <r>
    <n v="4"/>
    <x v="3"/>
    <s v="Pune"/>
    <x v="4"/>
    <x v="2"/>
    <n v="452"/>
    <n v="6663.16"/>
    <n v="3011750"/>
    <n v="382"/>
  </r>
  <r>
    <n v="4"/>
    <x v="3"/>
    <s v="Pune"/>
    <x v="4"/>
    <x v="3"/>
    <n v="849"/>
    <n v="1264.8900000000001"/>
    <n v="1073891"/>
    <n v="611"/>
  </r>
  <r>
    <n v="4"/>
    <x v="3"/>
    <s v="Pune"/>
    <x v="5"/>
    <x v="0"/>
    <n v="841"/>
    <n v="5053.6499999999996"/>
    <n v="4250123"/>
    <n v="675"/>
  </r>
  <r>
    <n v="4"/>
    <x v="3"/>
    <s v="Pune"/>
    <x v="5"/>
    <x v="1"/>
    <n v="217"/>
    <n v="21651.67"/>
    <n v="4698412"/>
    <n v="195"/>
  </r>
  <r>
    <n v="4"/>
    <x v="3"/>
    <s v="Pune"/>
    <x v="5"/>
    <x v="2"/>
    <n v="423"/>
    <n v="6515.26"/>
    <n v="2755957"/>
    <n v="383"/>
  </r>
  <r>
    <n v="4"/>
    <x v="3"/>
    <s v="Pune"/>
    <x v="5"/>
    <x v="3"/>
    <n v="1088"/>
    <n v="1343.62"/>
    <n v="1461857"/>
    <n v="989"/>
  </r>
  <r>
    <n v="4"/>
    <x v="3"/>
    <s v="Pune"/>
    <x v="6"/>
    <x v="0"/>
    <n v="704"/>
    <n v="4981.1099999999997"/>
    <n v="3506705"/>
    <n v="502"/>
  </r>
  <r>
    <n v="4"/>
    <x v="3"/>
    <s v="Pune"/>
    <x v="6"/>
    <x v="1"/>
    <n v="105"/>
    <n v="21020.5"/>
    <n v="2207152"/>
    <n v="91"/>
  </r>
  <r>
    <n v="4"/>
    <x v="3"/>
    <s v="Pune"/>
    <x v="6"/>
    <x v="2"/>
    <n v="396"/>
    <n v="7154.87"/>
    <n v="2833329"/>
    <n v="370"/>
  </r>
  <r>
    <n v="4"/>
    <x v="3"/>
    <s v="Pune"/>
    <x v="6"/>
    <x v="3"/>
    <n v="857"/>
    <n v="1231.25"/>
    <n v="1055178"/>
    <n v="680"/>
  </r>
  <r>
    <n v="4"/>
    <x v="3"/>
    <s v="Pune"/>
    <x v="7"/>
    <x v="0"/>
    <n v="684"/>
    <n v="5086.4799999999996"/>
    <n v="3479150"/>
    <n v="641"/>
  </r>
  <r>
    <n v="4"/>
    <x v="3"/>
    <s v="Pune"/>
    <x v="7"/>
    <x v="1"/>
    <n v="103"/>
    <n v="21386.1"/>
    <n v="2202768"/>
    <n v="77"/>
  </r>
  <r>
    <n v="4"/>
    <x v="3"/>
    <s v="Pune"/>
    <x v="7"/>
    <x v="2"/>
    <n v="487"/>
    <n v="6699.51"/>
    <n v="3262661"/>
    <n v="398"/>
  </r>
  <r>
    <n v="4"/>
    <x v="3"/>
    <s v="Pune"/>
    <x v="7"/>
    <x v="3"/>
    <n v="1170"/>
    <n v="1157.4000000000001"/>
    <n v="1354154"/>
    <n v="971"/>
  </r>
  <r>
    <n v="4"/>
    <x v="3"/>
    <s v="Pune"/>
    <x v="8"/>
    <x v="0"/>
    <n v="867"/>
    <n v="5187.3500000000004"/>
    <n v="4497431"/>
    <n v="698"/>
  </r>
  <r>
    <n v="4"/>
    <x v="3"/>
    <s v="Pune"/>
    <x v="8"/>
    <x v="1"/>
    <n v="184"/>
    <n v="23531.41"/>
    <n v="4329779"/>
    <n v="158"/>
  </r>
  <r>
    <n v="4"/>
    <x v="3"/>
    <s v="Pune"/>
    <x v="8"/>
    <x v="2"/>
    <n v="274"/>
    <n v="6569.9"/>
    <n v="1800154"/>
    <n v="192"/>
  </r>
  <r>
    <n v="4"/>
    <x v="3"/>
    <s v="Pune"/>
    <x v="8"/>
    <x v="3"/>
    <n v="705"/>
    <n v="1165.77"/>
    <n v="821867"/>
    <n v="597"/>
  </r>
  <r>
    <n v="4"/>
    <x v="3"/>
    <s v="Pune"/>
    <x v="9"/>
    <x v="0"/>
    <n v="934"/>
    <n v="5477.21"/>
    <n v="5115717"/>
    <n v="735"/>
  </r>
  <r>
    <n v="4"/>
    <x v="3"/>
    <s v="Pune"/>
    <x v="9"/>
    <x v="1"/>
    <n v="178"/>
    <n v="21390.34"/>
    <n v="3807480"/>
    <n v="142"/>
  </r>
  <r>
    <n v="4"/>
    <x v="3"/>
    <s v="Pune"/>
    <x v="9"/>
    <x v="2"/>
    <n v="446"/>
    <n v="7271.77"/>
    <n v="3243210"/>
    <n v="401"/>
  </r>
  <r>
    <n v="4"/>
    <x v="3"/>
    <s v="Pune"/>
    <x v="9"/>
    <x v="3"/>
    <n v="537"/>
    <n v="1222.76"/>
    <n v="656622"/>
    <n v="500"/>
  </r>
  <r>
    <n v="4"/>
    <x v="3"/>
    <s v="Pune"/>
    <x v="10"/>
    <x v="0"/>
    <n v="929"/>
    <n v="5325.61"/>
    <n v="4947490"/>
    <n v="730"/>
  </r>
  <r>
    <n v="4"/>
    <x v="3"/>
    <s v="Pune"/>
    <x v="10"/>
    <x v="1"/>
    <n v="225"/>
    <n v="21114.93"/>
    <n v="4750859"/>
    <n v="193"/>
  </r>
  <r>
    <n v="4"/>
    <x v="3"/>
    <s v="Pune"/>
    <x v="10"/>
    <x v="2"/>
    <n v="439"/>
    <n v="6845.53"/>
    <n v="3005187"/>
    <n v="357"/>
  </r>
  <r>
    <n v="4"/>
    <x v="3"/>
    <s v="Pune"/>
    <x v="10"/>
    <x v="3"/>
    <n v="494"/>
    <n v="993.75"/>
    <n v="490911"/>
    <n v="395"/>
  </r>
  <r>
    <n v="4"/>
    <x v="3"/>
    <s v="Pune"/>
    <x v="11"/>
    <x v="0"/>
    <n v="1119"/>
    <n v="5412.05"/>
    <n v="6056079"/>
    <n v="898"/>
  </r>
  <r>
    <n v="4"/>
    <x v="3"/>
    <s v="Pune"/>
    <x v="11"/>
    <x v="1"/>
    <n v="195"/>
    <n v="20770.3"/>
    <n v="4050208"/>
    <n v="159"/>
  </r>
  <r>
    <n v="4"/>
    <x v="3"/>
    <s v="Pune"/>
    <x v="11"/>
    <x v="2"/>
    <n v="292"/>
    <n v="6722.81"/>
    <n v="1963062"/>
    <n v="220"/>
  </r>
  <r>
    <n v="4"/>
    <x v="3"/>
    <s v="Pune"/>
    <x v="11"/>
    <x v="3"/>
    <n v="1188"/>
    <n v="1235.3"/>
    <n v="1467532"/>
    <n v="881"/>
  </r>
  <r>
    <n v="5"/>
    <x v="4"/>
    <s v="Pune"/>
    <x v="0"/>
    <x v="0"/>
    <n v="1133"/>
    <n v="5013.18"/>
    <n v="5679935"/>
    <n v="896"/>
  </r>
  <r>
    <n v="5"/>
    <x v="4"/>
    <s v="Pune"/>
    <x v="0"/>
    <x v="1"/>
    <n v="177"/>
    <n v="21346.77"/>
    <n v="3778379"/>
    <n v="138"/>
  </r>
  <r>
    <n v="5"/>
    <x v="4"/>
    <s v="Pune"/>
    <x v="0"/>
    <x v="2"/>
    <n v="272"/>
    <n v="6687.51"/>
    <n v="1819003"/>
    <n v="237"/>
  </r>
  <r>
    <n v="5"/>
    <x v="4"/>
    <s v="Pune"/>
    <x v="0"/>
    <x v="3"/>
    <n v="455"/>
    <n v="1109.99"/>
    <n v="505045"/>
    <n v="417"/>
  </r>
  <r>
    <n v="5"/>
    <x v="4"/>
    <s v="Pune"/>
    <x v="1"/>
    <x v="0"/>
    <n v="647"/>
    <n v="5277.53"/>
    <n v="3414565"/>
    <n v="583"/>
  </r>
  <r>
    <n v="5"/>
    <x v="4"/>
    <s v="Pune"/>
    <x v="1"/>
    <x v="1"/>
    <n v="212"/>
    <n v="21323.22"/>
    <n v="4520524"/>
    <n v="180"/>
  </r>
  <r>
    <n v="5"/>
    <x v="4"/>
    <s v="Pune"/>
    <x v="1"/>
    <x v="2"/>
    <n v="379"/>
    <n v="6535.82"/>
    <n v="2477074"/>
    <n v="311"/>
  </r>
  <r>
    <n v="5"/>
    <x v="4"/>
    <s v="Pune"/>
    <x v="1"/>
    <x v="3"/>
    <n v="873"/>
    <n v="1077.19"/>
    <n v="940391"/>
    <n v="776"/>
  </r>
  <r>
    <n v="5"/>
    <x v="4"/>
    <s v="Pune"/>
    <x v="2"/>
    <x v="0"/>
    <n v="677"/>
    <n v="5628.99"/>
    <n v="3810829"/>
    <n v="480"/>
  </r>
  <r>
    <n v="5"/>
    <x v="4"/>
    <s v="Pune"/>
    <x v="2"/>
    <x v="1"/>
    <n v="155"/>
    <n v="21300.77"/>
    <n v="3301620"/>
    <n v="113"/>
  </r>
  <r>
    <n v="5"/>
    <x v="4"/>
    <s v="Pune"/>
    <x v="2"/>
    <x v="2"/>
    <n v="202"/>
    <n v="6708.59"/>
    <n v="1355134"/>
    <n v="168"/>
  </r>
  <r>
    <n v="5"/>
    <x v="4"/>
    <s v="Pune"/>
    <x v="2"/>
    <x v="3"/>
    <n v="673"/>
    <n v="1296.8599999999999"/>
    <n v="872788"/>
    <n v="546"/>
  </r>
  <r>
    <n v="5"/>
    <x v="4"/>
    <s v="Pune"/>
    <x v="3"/>
    <x v="0"/>
    <n v="614"/>
    <n v="5358.73"/>
    <n v="3290262"/>
    <n v="457"/>
  </r>
  <r>
    <n v="5"/>
    <x v="4"/>
    <s v="Pune"/>
    <x v="3"/>
    <x v="1"/>
    <n v="138"/>
    <n v="21108.98"/>
    <n v="2913040"/>
    <n v="107"/>
  </r>
  <r>
    <n v="5"/>
    <x v="4"/>
    <s v="Pune"/>
    <x v="3"/>
    <x v="2"/>
    <n v="430"/>
    <n v="6722.58"/>
    <n v="2890709"/>
    <n v="326"/>
  </r>
  <r>
    <n v="5"/>
    <x v="4"/>
    <s v="Pune"/>
    <x v="3"/>
    <x v="3"/>
    <n v="924"/>
    <n v="1112.5"/>
    <n v="1027949"/>
    <n v="783"/>
  </r>
  <r>
    <n v="5"/>
    <x v="4"/>
    <s v="Pune"/>
    <x v="4"/>
    <x v="0"/>
    <n v="1179"/>
    <n v="5568.62"/>
    <n v="6565403"/>
    <n v="966"/>
  </r>
  <r>
    <n v="5"/>
    <x v="4"/>
    <s v="Pune"/>
    <x v="4"/>
    <x v="1"/>
    <n v="210"/>
    <n v="20453.87"/>
    <n v="4295314"/>
    <n v="185"/>
  </r>
  <r>
    <n v="5"/>
    <x v="4"/>
    <s v="Pune"/>
    <x v="4"/>
    <x v="2"/>
    <n v="310"/>
    <n v="6567.85"/>
    <n v="2036033"/>
    <n v="226"/>
  </r>
  <r>
    <n v="5"/>
    <x v="4"/>
    <s v="Pune"/>
    <x v="4"/>
    <x v="3"/>
    <n v="824"/>
    <n v="1358.2"/>
    <n v="1119160"/>
    <n v="646"/>
  </r>
  <r>
    <n v="5"/>
    <x v="4"/>
    <s v="Pune"/>
    <x v="5"/>
    <x v="0"/>
    <n v="881"/>
    <n v="5016.96"/>
    <n v="4419941"/>
    <n v="726"/>
  </r>
  <r>
    <n v="5"/>
    <x v="4"/>
    <s v="Pune"/>
    <x v="5"/>
    <x v="1"/>
    <n v="220"/>
    <n v="21976.32"/>
    <n v="4834791"/>
    <n v="167"/>
  </r>
  <r>
    <n v="5"/>
    <x v="4"/>
    <s v="Pune"/>
    <x v="5"/>
    <x v="2"/>
    <n v="349"/>
    <n v="6514.87"/>
    <n v="2273691"/>
    <n v="286"/>
  </r>
  <r>
    <n v="5"/>
    <x v="4"/>
    <s v="Pune"/>
    <x v="5"/>
    <x v="3"/>
    <n v="749"/>
    <n v="1074.1199999999999"/>
    <n v="804513"/>
    <n v="559"/>
  </r>
  <r>
    <n v="5"/>
    <x v="4"/>
    <s v="Pune"/>
    <x v="6"/>
    <x v="0"/>
    <n v="949"/>
    <n v="5309.7"/>
    <n v="5038909"/>
    <n v="761"/>
  </r>
  <r>
    <n v="5"/>
    <x v="4"/>
    <s v="Pune"/>
    <x v="6"/>
    <x v="1"/>
    <n v="135"/>
    <n v="20835.240000000002"/>
    <n v="2812757"/>
    <n v="128"/>
  </r>
  <r>
    <n v="5"/>
    <x v="4"/>
    <s v="Pune"/>
    <x v="6"/>
    <x v="2"/>
    <n v="205"/>
    <n v="6817.08"/>
    <n v="1397501"/>
    <n v="187"/>
  </r>
  <r>
    <n v="5"/>
    <x v="4"/>
    <s v="Pune"/>
    <x v="6"/>
    <x v="3"/>
    <n v="1045"/>
    <n v="1191.51"/>
    <n v="1245127"/>
    <n v="986"/>
  </r>
  <r>
    <n v="5"/>
    <x v="4"/>
    <s v="Pune"/>
    <x v="7"/>
    <x v="0"/>
    <n v="1103"/>
    <n v="5463.17"/>
    <n v="6025877"/>
    <n v="970"/>
  </r>
  <r>
    <n v="5"/>
    <x v="4"/>
    <s v="Pune"/>
    <x v="7"/>
    <x v="1"/>
    <n v="235"/>
    <n v="21953.4"/>
    <n v="5159050"/>
    <n v="192"/>
  </r>
  <r>
    <n v="5"/>
    <x v="4"/>
    <s v="Pune"/>
    <x v="7"/>
    <x v="2"/>
    <n v="372"/>
    <n v="6501.21"/>
    <n v="2418451"/>
    <n v="290"/>
  </r>
  <r>
    <n v="5"/>
    <x v="4"/>
    <s v="Pune"/>
    <x v="7"/>
    <x v="3"/>
    <n v="1186"/>
    <n v="1257.06"/>
    <n v="1490873"/>
    <n v="889"/>
  </r>
  <r>
    <n v="5"/>
    <x v="4"/>
    <s v="Pune"/>
    <x v="8"/>
    <x v="0"/>
    <n v="1131"/>
    <n v="5208.28"/>
    <n v="5890560"/>
    <n v="964"/>
  </r>
  <r>
    <n v="5"/>
    <x v="4"/>
    <s v="Pune"/>
    <x v="8"/>
    <x v="1"/>
    <n v="163"/>
    <n v="21254.63"/>
    <n v="3464504"/>
    <n v="117"/>
  </r>
  <r>
    <n v="5"/>
    <x v="4"/>
    <s v="Pune"/>
    <x v="8"/>
    <x v="2"/>
    <n v="338"/>
    <n v="6640.61"/>
    <n v="2244527"/>
    <n v="286"/>
  </r>
  <r>
    <n v="5"/>
    <x v="4"/>
    <s v="Pune"/>
    <x v="8"/>
    <x v="3"/>
    <n v="1089"/>
    <n v="1247.68"/>
    <n v="1358727"/>
    <n v="885"/>
  </r>
  <r>
    <n v="5"/>
    <x v="4"/>
    <s v="Pune"/>
    <x v="9"/>
    <x v="0"/>
    <n v="860"/>
    <n v="5501.26"/>
    <n v="4731082"/>
    <n v="656"/>
  </r>
  <r>
    <n v="5"/>
    <x v="4"/>
    <s v="Pune"/>
    <x v="9"/>
    <x v="1"/>
    <n v="200"/>
    <n v="21038.49"/>
    <n v="4207697"/>
    <n v="140"/>
  </r>
  <r>
    <n v="5"/>
    <x v="4"/>
    <s v="Pune"/>
    <x v="9"/>
    <x v="2"/>
    <n v="464"/>
    <n v="6483"/>
    <n v="3008111"/>
    <n v="372"/>
  </r>
  <r>
    <n v="5"/>
    <x v="4"/>
    <s v="Pune"/>
    <x v="9"/>
    <x v="3"/>
    <n v="1005"/>
    <n v="1443.38"/>
    <n v="1450602"/>
    <n v="730"/>
  </r>
  <r>
    <n v="5"/>
    <x v="4"/>
    <s v="Pune"/>
    <x v="10"/>
    <x v="0"/>
    <n v="1180"/>
    <n v="5374.23"/>
    <n v="6341590"/>
    <n v="1102"/>
  </r>
  <r>
    <n v="5"/>
    <x v="4"/>
    <s v="Pune"/>
    <x v="10"/>
    <x v="1"/>
    <n v="175"/>
    <n v="21016.81"/>
    <n v="3677942"/>
    <n v="139"/>
  </r>
  <r>
    <n v="5"/>
    <x v="4"/>
    <s v="Pune"/>
    <x v="10"/>
    <x v="2"/>
    <n v="200"/>
    <n v="6846.41"/>
    <n v="1369283"/>
    <n v="182"/>
  </r>
  <r>
    <n v="5"/>
    <x v="4"/>
    <s v="Pune"/>
    <x v="10"/>
    <x v="3"/>
    <n v="1178"/>
    <n v="1358.01"/>
    <n v="1599740"/>
    <n v="1058"/>
  </r>
  <r>
    <n v="5"/>
    <x v="4"/>
    <s v="Pune"/>
    <x v="11"/>
    <x v="0"/>
    <n v="869"/>
    <n v="5403.22"/>
    <n v="4695402"/>
    <n v="648"/>
  </r>
  <r>
    <n v="5"/>
    <x v="4"/>
    <s v="Pune"/>
    <x v="11"/>
    <x v="1"/>
    <n v="182"/>
    <n v="21880.39"/>
    <n v="3982232"/>
    <n v="157"/>
  </r>
  <r>
    <n v="5"/>
    <x v="4"/>
    <s v="Pune"/>
    <x v="11"/>
    <x v="2"/>
    <n v="261"/>
    <n v="6961.34"/>
    <n v="1816909"/>
    <n v="208"/>
  </r>
  <r>
    <n v="5"/>
    <x v="4"/>
    <s v="Pune"/>
    <x v="11"/>
    <x v="3"/>
    <n v="695"/>
    <n v="1167.4000000000001"/>
    <n v="811341"/>
    <n v="565"/>
  </r>
  <r>
    <n v="6"/>
    <x v="5"/>
    <s v="Delhi"/>
    <x v="0"/>
    <x v="0"/>
    <n v="1125"/>
    <n v="5350.04"/>
    <n v="6018793"/>
    <n v="939"/>
  </r>
  <r>
    <n v="6"/>
    <x v="5"/>
    <s v="Delhi"/>
    <x v="0"/>
    <x v="1"/>
    <n v="162"/>
    <n v="22144.59"/>
    <n v="3587423"/>
    <n v="133"/>
  </r>
  <r>
    <n v="6"/>
    <x v="5"/>
    <s v="Delhi"/>
    <x v="0"/>
    <x v="2"/>
    <n v="352"/>
    <n v="6336.85"/>
    <n v="2230571"/>
    <n v="293"/>
  </r>
  <r>
    <n v="6"/>
    <x v="5"/>
    <s v="Delhi"/>
    <x v="0"/>
    <x v="3"/>
    <n v="1015"/>
    <n v="1038.6600000000001"/>
    <n v="1054239"/>
    <n v="768"/>
  </r>
  <r>
    <n v="6"/>
    <x v="5"/>
    <s v="Delhi"/>
    <x v="1"/>
    <x v="0"/>
    <n v="638"/>
    <n v="5004.28"/>
    <n v="3192732"/>
    <n v="468"/>
  </r>
  <r>
    <n v="6"/>
    <x v="5"/>
    <s v="Delhi"/>
    <x v="1"/>
    <x v="1"/>
    <n v="114"/>
    <n v="22415"/>
    <n v="2555310"/>
    <n v="104"/>
  </r>
  <r>
    <n v="6"/>
    <x v="5"/>
    <s v="Delhi"/>
    <x v="1"/>
    <x v="2"/>
    <n v="488"/>
    <n v="6989.78"/>
    <n v="3411011"/>
    <n v="437"/>
  </r>
  <r>
    <n v="6"/>
    <x v="5"/>
    <s v="Delhi"/>
    <x v="1"/>
    <x v="3"/>
    <n v="949"/>
    <n v="1208.21"/>
    <n v="1146587"/>
    <n v="842"/>
  </r>
  <r>
    <n v="6"/>
    <x v="5"/>
    <s v="Delhi"/>
    <x v="2"/>
    <x v="0"/>
    <n v="1010"/>
    <n v="5601.95"/>
    <n v="5657974"/>
    <n v="928"/>
  </r>
  <r>
    <n v="6"/>
    <x v="5"/>
    <s v="Delhi"/>
    <x v="2"/>
    <x v="1"/>
    <n v="196"/>
    <n v="21821.63"/>
    <n v="4277039"/>
    <n v="142"/>
  </r>
  <r>
    <n v="6"/>
    <x v="5"/>
    <s v="Delhi"/>
    <x v="2"/>
    <x v="2"/>
    <n v="358"/>
    <n v="6466.17"/>
    <n v="2314890"/>
    <n v="304"/>
  </r>
  <r>
    <n v="6"/>
    <x v="5"/>
    <s v="Delhi"/>
    <x v="2"/>
    <x v="3"/>
    <n v="414"/>
    <n v="980.35"/>
    <n v="405864"/>
    <n v="372"/>
  </r>
  <r>
    <n v="6"/>
    <x v="5"/>
    <s v="Delhi"/>
    <x v="3"/>
    <x v="0"/>
    <n v="860"/>
    <n v="4785.41"/>
    <n v="4115456"/>
    <n v="767"/>
  </r>
  <r>
    <n v="6"/>
    <x v="5"/>
    <s v="Delhi"/>
    <x v="3"/>
    <x v="1"/>
    <n v="194"/>
    <n v="21191.57"/>
    <n v="4111164"/>
    <n v="164"/>
  </r>
  <r>
    <n v="6"/>
    <x v="5"/>
    <s v="Delhi"/>
    <x v="3"/>
    <x v="2"/>
    <n v="491"/>
    <n v="6915.43"/>
    <n v="3395476"/>
    <n v="445"/>
  </r>
  <r>
    <n v="6"/>
    <x v="5"/>
    <s v="Delhi"/>
    <x v="3"/>
    <x v="3"/>
    <n v="653"/>
    <n v="1356.76"/>
    <n v="885964"/>
    <n v="605"/>
  </r>
  <r>
    <n v="6"/>
    <x v="5"/>
    <s v="Delhi"/>
    <x v="4"/>
    <x v="0"/>
    <n v="1149"/>
    <n v="5218.6099999999997"/>
    <n v="5996184"/>
    <n v="887"/>
  </r>
  <r>
    <n v="6"/>
    <x v="5"/>
    <s v="Delhi"/>
    <x v="4"/>
    <x v="1"/>
    <n v="206"/>
    <n v="20338.240000000002"/>
    <n v="4189677"/>
    <n v="152"/>
  </r>
  <r>
    <n v="6"/>
    <x v="5"/>
    <s v="Delhi"/>
    <x v="4"/>
    <x v="2"/>
    <n v="340"/>
    <n v="6960.35"/>
    <n v="2366521"/>
    <n v="288"/>
  </r>
  <r>
    <n v="6"/>
    <x v="5"/>
    <s v="Delhi"/>
    <x v="4"/>
    <x v="3"/>
    <n v="755"/>
    <n v="1106.3499999999999"/>
    <n v="835293"/>
    <n v="701"/>
  </r>
  <r>
    <n v="6"/>
    <x v="5"/>
    <s v="Delhi"/>
    <x v="5"/>
    <x v="0"/>
    <n v="732"/>
    <n v="5343.37"/>
    <n v="3911348"/>
    <n v="540"/>
  </r>
  <r>
    <n v="6"/>
    <x v="5"/>
    <s v="Delhi"/>
    <x v="5"/>
    <x v="1"/>
    <n v="191"/>
    <n v="21853.69"/>
    <n v="4174055"/>
    <n v="151"/>
  </r>
  <r>
    <n v="6"/>
    <x v="5"/>
    <s v="Delhi"/>
    <x v="5"/>
    <x v="2"/>
    <n v="250"/>
    <n v="6755.17"/>
    <n v="1688791"/>
    <n v="232"/>
  </r>
  <r>
    <n v="6"/>
    <x v="5"/>
    <s v="Delhi"/>
    <x v="5"/>
    <x v="3"/>
    <n v="806"/>
    <n v="1210.01"/>
    <n v="975268"/>
    <n v="588"/>
  </r>
  <r>
    <n v="6"/>
    <x v="5"/>
    <s v="Delhi"/>
    <x v="6"/>
    <x v="0"/>
    <n v="1004"/>
    <n v="5219.51"/>
    <n v="5240388"/>
    <n v="913"/>
  </r>
  <r>
    <n v="6"/>
    <x v="5"/>
    <s v="Delhi"/>
    <x v="6"/>
    <x v="1"/>
    <n v="100"/>
    <n v="21156.69"/>
    <n v="2115669"/>
    <n v="91"/>
  </r>
  <r>
    <n v="6"/>
    <x v="5"/>
    <s v="Delhi"/>
    <x v="6"/>
    <x v="2"/>
    <n v="254"/>
    <n v="6861.33"/>
    <n v="1742778"/>
    <n v="201"/>
  </r>
  <r>
    <n v="6"/>
    <x v="5"/>
    <s v="Delhi"/>
    <x v="6"/>
    <x v="3"/>
    <n v="708"/>
    <n v="1064.1300000000001"/>
    <n v="753403"/>
    <n v="554"/>
  </r>
  <r>
    <n v="6"/>
    <x v="5"/>
    <s v="Delhi"/>
    <x v="7"/>
    <x v="0"/>
    <n v="1035"/>
    <n v="5395.06"/>
    <n v="5583891"/>
    <n v="754"/>
  </r>
  <r>
    <n v="6"/>
    <x v="5"/>
    <s v="Delhi"/>
    <x v="7"/>
    <x v="1"/>
    <n v="124"/>
    <n v="22555.07"/>
    <n v="2796829"/>
    <n v="113"/>
  </r>
  <r>
    <n v="6"/>
    <x v="5"/>
    <s v="Delhi"/>
    <x v="7"/>
    <x v="2"/>
    <n v="493"/>
    <n v="6313.01"/>
    <n v="3112315"/>
    <n v="435"/>
  </r>
  <r>
    <n v="6"/>
    <x v="5"/>
    <s v="Delhi"/>
    <x v="7"/>
    <x v="3"/>
    <n v="928"/>
    <n v="1070.49"/>
    <n v="993417"/>
    <n v="785"/>
  </r>
  <r>
    <n v="6"/>
    <x v="5"/>
    <s v="Delhi"/>
    <x v="8"/>
    <x v="0"/>
    <n v="778"/>
    <n v="5394.34"/>
    <n v="4196795"/>
    <n v="576"/>
  </r>
  <r>
    <n v="6"/>
    <x v="5"/>
    <s v="Delhi"/>
    <x v="8"/>
    <x v="1"/>
    <n v="187"/>
    <n v="20276.189999999999"/>
    <n v="3791647"/>
    <n v="145"/>
  </r>
  <r>
    <n v="6"/>
    <x v="5"/>
    <s v="Delhi"/>
    <x v="8"/>
    <x v="2"/>
    <n v="484"/>
    <n v="7254.69"/>
    <n v="3511268"/>
    <n v="340"/>
  </r>
  <r>
    <n v="6"/>
    <x v="5"/>
    <s v="Delhi"/>
    <x v="8"/>
    <x v="3"/>
    <n v="868"/>
    <n v="1312.66"/>
    <n v="1139386"/>
    <n v="719"/>
  </r>
  <r>
    <n v="6"/>
    <x v="5"/>
    <s v="Delhi"/>
    <x v="9"/>
    <x v="0"/>
    <n v="683"/>
    <n v="5755.33"/>
    <n v="3930891"/>
    <n v="625"/>
  </r>
  <r>
    <n v="6"/>
    <x v="5"/>
    <s v="Delhi"/>
    <x v="9"/>
    <x v="1"/>
    <n v="162"/>
    <n v="20196.560000000001"/>
    <n v="3271842"/>
    <n v="153"/>
  </r>
  <r>
    <n v="6"/>
    <x v="5"/>
    <s v="Delhi"/>
    <x v="9"/>
    <x v="2"/>
    <n v="248"/>
    <n v="6381.92"/>
    <n v="1582717"/>
    <n v="198"/>
  </r>
  <r>
    <n v="6"/>
    <x v="5"/>
    <s v="Delhi"/>
    <x v="9"/>
    <x v="3"/>
    <n v="834"/>
    <n v="1088.21"/>
    <n v="907563"/>
    <n v="627"/>
  </r>
  <r>
    <n v="6"/>
    <x v="5"/>
    <s v="Delhi"/>
    <x v="10"/>
    <x v="0"/>
    <n v="917"/>
    <n v="5185.2700000000004"/>
    <n v="4754890"/>
    <n v="650"/>
  </r>
  <r>
    <n v="6"/>
    <x v="5"/>
    <s v="Delhi"/>
    <x v="10"/>
    <x v="1"/>
    <n v="129"/>
    <n v="21062.51"/>
    <n v="2717064"/>
    <n v="117"/>
  </r>
  <r>
    <n v="6"/>
    <x v="5"/>
    <s v="Delhi"/>
    <x v="10"/>
    <x v="2"/>
    <n v="218"/>
    <n v="7116.57"/>
    <n v="1551413"/>
    <n v="176"/>
  </r>
  <r>
    <n v="6"/>
    <x v="5"/>
    <s v="Delhi"/>
    <x v="10"/>
    <x v="3"/>
    <n v="513"/>
    <n v="934.06"/>
    <n v="479175"/>
    <n v="422"/>
  </r>
  <r>
    <n v="6"/>
    <x v="5"/>
    <s v="Delhi"/>
    <x v="11"/>
    <x v="0"/>
    <n v="863"/>
    <n v="5018.5"/>
    <n v="4330963"/>
    <n v="743"/>
  </r>
  <r>
    <n v="6"/>
    <x v="5"/>
    <s v="Delhi"/>
    <x v="11"/>
    <x v="1"/>
    <n v="223"/>
    <n v="20877.75"/>
    <n v="4655738"/>
    <n v="200"/>
  </r>
  <r>
    <n v="6"/>
    <x v="5"/>
    <s v="Delhi"/>
    <x v="11"/>
    <x v="2"/>
    <n v="254"/>
    <n v="6845.59"/>
    <n v="1738781"/>
    <n v="219"/>
  </r>
  <r>
    <n v="6"/>
    <x v="5"/>
    <s v="Delhi"/>
    <x v="11"/>
    <x v="3"/>
    <n v="712"/>
    <n v="1122.73"/>
    <n v="799386"/>
    <n v="537"/>
  </r>
  <r>
    <n v="7"/>
    <x v="6"/>
    <s v="Bangalore"/>
    <x v="0"/>
    <x v="0"/>
    <n v="1042"/>
    <n v="5814.27"/>
    <n v="6058474"/>
    <n v="817"/>
  </r>
  <r>
    <n v="7"/>
    <x v="6"/>
    <s v="Bangalore"/>
    <x v="0"/>
    <x v="1"/>
    <n v="166"/>
    <n v="21619.200000000001"/>
    <n v="3588788"/>
    <n v="153"/>
  </r>
  <r>
    <n v="7"/>
    <x v="6"/>
    <s v="Bangalore"/>
    <x v="0"/>
    <x v="2"/>
    <n v="291"/>
    <n v="6594.8"/>
    <n v="1919086"/>
    <n v="221"/>
  </r>
  <r>
    <n v="7"/>
    <x v="6"/>
    <s v="Bangalore"/>
    <x v="0"/>
    <x v="3"/>
    <n v="477"/>
    <n v="1177.08"/>
    <n v="561466"/>
    <n v="405"/>
  </r>
  <r>
    <n v="7"/>
    <x v="6"/>
    <s v="Bangalore"/>
    <x v="1"/>
    <x v="0"/>
    <n v="1090"/>
    <n v="5244.84"/>
    <n v="5716874"/>
    <n v="851"/>
  </r>
  <r>
    <n v="7"/>
    <x v="6"/>
    <s v="Bangalore"/>
    <x v="1"/>
    <x v="1"/>
    <n v="106"/>
    <n v="20653.97"/>
    <n v="2189321"/>
    <n v="90"/>
  </r>
  <r>
    <n v="7"/>
    <x v="6"/>
    <s v="Bangalore"/>
    <x v="1"/>
    <x v="2"/>
    <n v="360"/>
    <n v="6797.84"/>
    <n v="2447222"/>
    <n v="289"/>
  </r>
  <r>
    <n v="7"/>
    <x v="6"/>
    <s v="Bangalore"/>
    <x v="1"/>
    <x v="3"/>
    <n v="913"/>
    <n v="1074.8900000000001"/>
    <n v="981373"/>
    <n v="846"/>
  </r>
  <r>
    <n v="7"/>
    <x v="6"/>
    <s v="Bangalore"/>
    <x v="2"/>
    <x v="0"/>
    <n v="1122"/>
    <n v="5159.13"/>
    <n v="5788545"/>
    <n v="950"/>
  </r>
  <r>
    <n v="7"/>
    <x v="6"/>
    <s v="Bangalore"/>
    <x v="2"/>
    <x v="1"/>
    <n v="239"/>
    <n v="20373.23"/>
    <n v="4869202"/>
    <n v="216"/>
  </r>
  <r>
    <n v="7"/>
    <x v="6"/>
    <s v="Bangalore"/>
    <x v="2"/>
    <x v="2"/>
    <n v="492"/>
    <n v="7074.01"/>
    <n v="3480412"/>
    <n v="398"/>
  </r>
  <r>
    <n v="7"/>
    <x v="6"/>
    <s v="Bangalore"/>
    <x v="2"/>
    <x v="3"/>
    <n v="899"/>
    <n v="983.01"/>
    <n v="883728"/>
    <n v="848"/>
  </r>
  <r>
    <n v="7"/>
    <x v="6"/>
    <s v="Bangalore"/>
    <x v="3"/>
    <x v="0"/>
    <n v="963"/>
    <n v="5494.36"/>
    <n v="5291073"/>
    <n v="866"/>
  </r>
  <r>
    <n v="7"/>
    <x v="6"/>
    <s v="Bangalore"/>
    <x v="3"/>
    <x v="1"/>
    <n v="213"/>
    <n v="21475.23"/>
    <n v="4574225"/>
    <n v="150"/>
  </r>
  <r>
    <n v="7"/>
    <x v="6"/>
    <s v="Bangalore"/>
    <x v="3"/>
    <x v="2"/>
    <n v="213"/>
    <n v="6960.92"/>
    <n v="1482676"/>
    <n v="170"/>
  </r>
  <r>
    <n v="7"/>
    <x v="6"/>
    <s v="Bangalore"/>
    <x v="3"/>
    <x v="3"/>
    <n v="600"/>
    <n v="1305.71"/>
    <n v="783427"/>
    <n v="440"/>
  </r>
  <r>
    <n v="7"/>
    <x v="6"/>
    <s v="Bangalore"/>
    <x v="4"/>
    <x v="0"/>
    <n v="834"/>
    <n v="5091.1000000000004"/>
    <n v="4245978"/>
    <n v="771"/>
  </r>
  <r>
    <n v="7"/>
    <x v="6"/>
    <s v="Bangalore"/>
    <x v="4"/>
    <x v="1"/>
    <n v="197"/>
    <n v="21322.080000000002"/>
    <n v="4200451"/>
    <n v="151"/>
  </r>
  <r>
    <n v="7"/>
    <x v="6"/>
    <s v="Bangalore"/>
    <x v="4"/>
    <x v="2"/>
    <n v="274"/>
    <n v="6736.19"/>
    <n v="1845717"/>
    <n v="247"/>
  </r>
  <r>
    <n v="7"/>
    <x v="6"/>
    <s v="Bangalore"/>
    <x v="4"/>
    <x v="3"/>
    <n v="440"/>
    <n v="1331.21"/>
    <n v="585732"/>
    <n v="338"/>
  </r>
  <r>
    <n v="7"/>
    <x v="6"/>
    <s v="Bangalore"/>
    <x v="5"/>
    <x v="0"/>
    <n v="616"/>
    <n v="5286.2"/>
    <n v="3256302"/>
    <n v="542"/>
  </r>
  <r>
    <n v="7"/>
    <x v="6"/>
    <s v="Bangalore"/>
    <x v="5"/>
    <x v="1"/>
    <n v="216"/>
    <n v="19437.43"/>
    <n v="4198484"/>
    <n v="151"/>
  </r>
  <r>
    <n v="7"/>
    <x v="6"/>
    <s v="Bangalore"/>
    <x v="5"/>
    <x v="2"/>
    <n v="226"/>
    <n v="7186.16"/>
    <n v="1624072"/>
    <n v="195"/>
  </r>
  <r>
    <n v="7"/>
    <x v="6"/>
    <s v="Bangalore"/>
    <x v="5"/>
    <x v="3"/>
    <n v="854"/>
    <n v="1357.05"/>
    <n v="1158920"/>
    <n v="720"/>
  </r>
  <r>
    <n v="7"/>
    <x v="6"/>
    <s v="Bangalore"/>
    <x v="6"/>
    <x v="0"/>
    <n v="1000"/>
    <n v="4931.83"/>
    <n v="4931825"/>
    <n v="829"/>
  </r>
  <r>
    <n v="7"/>
    <x v="6"/>
    <s v="Bangalore"/>
    <x v="6"/>
    <x v="1"/>
    <n v="163"/>
    <n v="20476.34"/>
    <n v="3337643"/>
    <n v="128"/>
  </r>
  <r>
    <n v="7"/>
    <x v="6"/>
    <s v="Bangalore"/>
    <x v="6"/>
    <x v="2"/>
    <n v="392"/>
    <n v="6756.03"/>
    <n v="2648364"/>
    <n v="298"/>
  </r>
  <r>
    <n v="7"/>
    <x v="6"/>
    <s v="Bangalore"/>
    <x v="6"/>
    <x v="3"/>
    <n v="548"/>
    <n v="1124.46"/>
    <n v="616205"/>
    <n v="498"/>
  </r>
  <r>
    <n v="7"/>
    <x v="6"/>
    <s v="Bangalore"/>
    <x v="7"/>
    <x v="0"/>
    <n v="610"/>
    <n v="5568.26"/>
    <n v="3396640"/>
    <n v="472"/>
  </r>
  <r>
    <n v="7"/>
    <x v="6"/>
    <s v="Bangalore"/>
    <x v="7"/>
    <x v="1"/>
    <n v="153"/>
    <n v="20792.98"/>
    <n v="3181326"/>
    <n v="125"/>
  </r>
  <r>
    <n v="7"/>
    <x v="6"/>
    <s v="Bangalore"/>
    <x v="7"/>
    <x v="2"/>
    <n v="310"/>
    <n v="6173.56"/>
    <n v="1913805"/>
    <n v="258"/>
  </r>
  <r>
    <n v="7"/>
    <x v="6"/>
    <s v="Bangalore"/>
    <x v="7"/>
    <x v="3"/>
    <n v="866"/>
    <n v="1187.6099999999999"/>
    <n v="1028471"/>
    <n v="735"/>
  </r>
  <r>
    <n v="7"/>
    <x v="6"/>
    <s v="Bangalore"/>
    <x v="8"/>
    <x v="0"/>
    <n v="1090"/>
    <n v="5374.92"/>
    <n v="5858660"/>
    <n v="892"/>
  </r>
  <r>
    <n v="7"/>
    <x v="6"/>
    <s v="Bangalore"/>
    <x v="8"/>
    <x v="1"/>
    <n v="172"/>
    <n v="20660.939999999999"/>
    <n v="3553681"/>
    <n v="123"/>
  </r>
  <r>
    <n v="7"/>
    <x v="6"/>
    <s v="Bangalore"/>
    <x v="8"/>
    <x v="2"/>
    <n v="216"/>
    <n v="7196.49"/>
    <n v="1554443"/>
    <n v="183"/>
  </r>
  <r>
    <n v="7"/>
    <x v="6"/>
    <s v="Bangalore"/>
    <x v="8"/>
    <x v="3"/>
    <n v="424"/>
    <n v="1129.57"/>
    <n v="478939"/>
    <n v="322"/>
  </r>
  <r>
    <n v="7"/>
    <x v="6"/>
    <s v="Bangalore"/>
    <x v="9"/>
    <x v="0"/>
    <n v="730"/>
    <n v="5238.4399999999996"/>
    <n v="3824063"/>
    <n v="658"/>
  </r>
  <r>
    <n v="7"/>
    <x v="6"/>
    <s v="Bangalore"/>
    <x v="9"/>
    <x v="1"/>
    <n v="148"/>
    <n v="20972.880000000001"/>
    <n v="3103986"/>
    <n v="108"/>
  </r>
  <r>
    <n v="7"/>
    <x v="6"/>
    <s v="Bangalore"/>
    <x v="9"/>
    <x v="2"/>
    <n v="256"/>
    <n v="6304.2"/>
    <n v="1613874"/>
    <n v="213"/>
  </r>
  <r>
    <n v="7"/>
    <x v="6"/>
    <s v="Bangalore"/>
    <x v="9"/>
    <x v="3"/>
    <n v="615"/>
    <n v="1177.3800000000001"/>
    <n v="724086"/>
    <n v="547"/>
  </r>
  <r>
    <n v="7"/>
    <x v="6"/>
    <s v="Bangalore"/>
    <x v="10"/>
    <x v="0"/>
    <n v="680"/>
    <n v="5557.25"/>
    <n v="3778933"/>
    <n v="620"/>
  </r>
  <r>
    <n v="7"/>
    <x v="6"/>
    <s v="Bangalore"/>
    <x v="10"/>
    <x v="1"/>
    <n v="124"/>
    <n v="22349.77"/>
    <n v="2771371"/>
    <n v="114"/>
  </r>
  <r>
    <n v="7"/>
    <x v="6"/>
    <s v="Bangalore"/>
    <x v="10"/>
    <x v="2"/>
    <n v="467"/>
    <n v="6828.89"/>
    <n v="3189090"/>
    <n v="347"/>
  </r>
  <r>
    <n v="7"/>
    <x v="6"/>
    <s v="Bangalore"/>
    <x v="10"/>
    <x v="3"/>
    <n v="485"/>
    <n v="1220.77"/>
    <n v="592073"/>
    <n v="450"/>
  </r>
  <r>
    <n v="7"/>
    <x v="6"/>
    <s v="Bangalore"/>
    <x v="11"/>
    <x v="0"/>
    <n v="934"/>
    <n v="5083.79"/>
    <n v="4748259"/>
    <n v="869"/>
  </r>
  <r>
    <n v="7"/>
    <x v="6"/>
    <s v="Bangalore"/>
    <x v="11"/>
    <x v="1"/>
    <n v="158"/>
    <n v="22342.52"/>
    <n v="3530119"/>
    <n v="147"/>
  </r>
  <r>
    <n v="7"/>
    <x v="6"/>
    <s v="Bangalore"/>
    <x v="11"/>
    <x v="2"/>
    <n v="281"/>
    <n v="7106.99"/>
    <n v="1997064"/>
    <n v="241"/>
  </r>
  <r>
    <n v="7"/>
    <x v="6"/>
    <s v="Bangalore"/>
    <x v="11"/>
    <x v="3"/>
    <n v="925"/>
    <n v="928.75"/>
    <n v="859095"/>
    <n v="785"/>
  </r>
  <r>
    <n v="8"/>
    <x v="7"/>
    <s v="Bangalore"/>
    <x v="0"/>
    <x v="0"/>
    <n v="787"/>
    <n v="5503.78"/>
    <n v="4331473"/>
    <n v="655"/>
  </r>
  <r>
    <n v="8"/>
    <x v="7"/>
    <s v="Bangalore"/>
    <x v="0"/>
    <x v="1"/>
    <n v="207"/>
    <n v="21459.9"/>
    <n v="4442200"/>
    <n v="174"/>
  </r>
  <r>
    <n v="8"/>
    <x v="7"/>
    <s v="Bangalore"/>
    <x v="0"/>
    <x v="2"/>
    <n v="203"/>
    <n v="6504.82"/>
    <n v="1320479"/>
    <n v="173"/>
  </r>
  <r>
    <n v="8"/>
    <x v="7"/>
    <s v="Bangalore"/>
    <x v="0"/>
    <x v="3"/>
    <n v="415"/>
    <n v="1304.3499999999999"/>
    <n v="541307"/>
    <n v="334"/>
  </r>
  <r>
    <n v="8"/>
    <x v="7"/>
    <s v="Bangalore"/>
    <x v="1"/>
    <x v="0"/>
    <n v="707"/>
    <n v="5316.46"/>
    <n v="3758735"/>
    <n v="660"/>
  </r>
  <r>
    <n v="8"/>
    <x v="7"/>
    <s v="Bangalore"/>
    <x v="1"/>
    <x v="1"/>
    <n v="222"/>
    <n v="22352.38"/>
    <n v="4962229"/>
    <n v="210"/>
  </r>
  <r>
    <n v="8"/>
    <x v="7"/>
    <s v="Bangalore"/>
    <x v="1"/>
    <x v="2"/>
    <n v="228"/>
    <n v="6544.81"/>
    <n v="1492217"/>
    <n v="186"/>
  </r>
  <r>
    <n v="8"/>
    <x v="7"/>
    <s v="Bangalore"/>
    <x v="1"/>
    <x v="3"/>
    <n v="1096"/>
    <n v="1340.93"/>
    <n v="1469664"/>
    <n v="926"/>
  </r>
  <r>
    <n v="8"/>
    <x v="7"/>
    <s v="Bangalore"/>
    <x v="2"/>
    <x v="0"/>
    <n v="838"/>
    <n v="5138.79"/>
    <n v="4306309"/>
    <n v="657"/>
  </r>
  <r>
    <n v="8"/>
    <x v="7"/>
    <s v="Bangalore"/>
    <x v="2"/>
    <x v="1"/>
    <n v="183"/>
    <n v="21339.37"/>
    <n v="3905104"/>
    <n v="161"/>
  </r>
  <r>
    <n v="8"/>
    <x v="7"/>
    <s v="Bangalore"/>
    <x v="2"/>
    <x v="2"/>
    <n v="376"/>
    <n v="6609.89"/>
    <n v="2485319"/>
    <n v="290"/>
  </r>
  <r>
    <n v="8"/>
    <x v="7"/>
    <s v="Bangalore"/>
    <x v="2"/>
    <x v="3"/>
    <n v="723"/>
    <n v="1119.52"/>
    <n v="809414"/>
    <n v="635"/>
  </r>
  <r>
    <n v="8"/>
    <x v="7"/>
    <s v="Bangalore"/>
    <x v="3"/>
    <x v="0"/>
    <n v="892"/>
    <n v="5293.06"/>
    <n v="4721412"/>
    <n v="710"/>
  </r>
  <r>
    <n v="8"/>
    <x v="7"/>
    <s v="Bangalore"/>
    <x v="3"/>
    <x v="1"/>
    <n v="187"/>
    <n v="21687.37"/>
    <n v="4055539"/>
    <n v="136"/>
  </r>
  <r>
    <n v="8"/>
    <x v="7"/>
    <s v="Bangalore"/>
    <x v="3"/>
    <x v="2"/>
    <n v="386"/>
    <n v="6650.28"/>
    <n v="2567009"/>
    <n v="355"/>
  </r>
  <r>
    <n v="8"/>
    <x v="7"/>
    <s v="Bangalore"/>
    <x v="3"/>
    <x v="3"/>
    <n v="701"/>
    <n v="1117.44"/>
    <n v="783327"/>
    <n v="595"/>
  </r>
  <r>
    <n v="8"/>
    <x v="7"/>
    <s v="Bangalore"/>
    <x v="4"/>
    <x v="0"/>
    <n v="661"/>
    <n v="5075.46"/>
    <n v="3354876"/>
    <n v="626"/>
  </r>
  <r>
    <n v="8"/>
    <x v="7"/>
    <s v="Bangalore"/>
    <x v="4"/>
    <x v="1"/>
    <n v="158"/>
    <n v="21805.93"/>
    <n v="3445337"/>
    <n v="126"/>
  </r>
  <r>
    <n v="8"/>
    <x v="7"/>
    <s v="Bangalore"/>
    <x v="4"/>
    <x v="2"/>
    <n v="262"/>
    <n v="6885.44"/>
    <n v="1803986"/>
    <n v="191"/>
  </r>
  <r>
    <n v="8"/>
    <x v="7"/>
    <s v="Bangalore"/>
    <x v="4"/>
    <x v="3"/>
    <n v="506"/>
    <n v="1149.6300000000001"/>
    <n v="581713"/>
    <n v="376"/>
  </r>
  <r>
    <n v="8"/>
    <x v="7"/>
    <s v="Bangalore"/>
    <x v="5"/>
    <x v="0"/>
    <n v="817"/>
    <n v="5393.71"/>
    <n v="4406663"/>
    <n v="700"/>
  </r>
  <r>
    <n v="8"/>
    <x v="7"/>
    <s v="Bangalore"/>
    <x v="5"/>
    <x v="1"/>
    <n v="108"/>
    <n v="21906.55"/>
    <n v="2365908"/>
    <n v="100"/>
  </r>
  <r>
    <n v="8"/>
    <x v="7"/>
    <s v="Bangalore"/>
    <x v="5"/>
    <x v="2"/>
    <n v="440"/>
    <n v="6587.98"/>
    <n v="2898711"/>
    <n v="391"/>
  </r>
  <r>
    <n v="8"/>
    <x v="7"/>
    <s v="Bangalore"/>
    <x v="5"/>
    <x v="3"/>
    <n v="461"/>
    <n v="1082.6400000000001"/>
    <n v="499098"/>
    <n v="437"/>
  </r>
  <r>
    <n v="8"/>
    <x v="7"/>
    <s v="Bangalore"/>
    <x v="6"/>
    <x v="0"/>
    <n v="602"/>
    <n v="5189.5600000000004"/>
    <n v="3124112"/>
    <n v="455"/>
  </r>
  <r>
    <n v="8"/>
    <x v="7"/>
    <s v="Bangalore"/>
    <x v="6"/>
    <x v="1"/>
    <n v="188"/>
    <n v="22006.35"/>
    <n v="4137193"/>
    <n v="159"/>
  </r>
  <r>
    <n v="8"/>
    <x v="7"/>
    <s v="Bangalore"/>
    <x v="6"/>
    <x v="2"/>
    <n v="297"/>
    <n v="6026.3"/>
    <n v="1789811"/>
    <n v="228"/>
  </r>
  <r>
    <n v="8"/>
    <x v="7"/>
    <s v="Bangalore"/>
    <x v="6"/>
    <x v="3"/>
    <n v="940"/>
    <n v="1112.1600000000001"/>
    <n v="1045433"/>
    <n v="866"/>
  </r>
  <r>
    <n v="8"/>
    <x v="7"/>
    <s v="Bangalore"/>
    <x v="7"/>
    <x v="0"/>
    <n v="931"/>
    <n v="5286.2"/>
    <n v="4921448"/>
    <n v="868"/>
  </r>
  <r>
    <n v="8"/>
    <x v="7"/>
    <s v="Bangalore"/>
    <x v="7"/>
    <x v="1"/>
    <n v="238"/>
    <n v="21349.94"/>
    <n v="5081285"/>
    <n v="171"/>
  </r>
  <r>
    <n v="8"/>
    <x v="7"/>
    <s v="Bangalore"/>
    <x v="7"/>
    <x v="2"/>
    <n v="323"/>
    <n v="6286.2"/>
    <n v="2030444"/>
    <n v="284"/>
  </r>
  <r>
    <n v="8"/>
    <x v="7"/>
    <s v="Bangalore"/>
    <x v="7"/>
    <x v="3"/>
    <n v="1001"/>
    <n v="1126.9100000000001"/>
    <n v="1128034"/>
    <n v="833"/>
  </r>
  <r>
    <n v="8"/>
    <x v="7"/>
    <s v="Bangalore"/>
    <x v="8"/>
    <x v="0"/>
    <n v="636"/>
    <n v="5438.95"/>
    <n v="3459174"/>
    <n v="457"/>
  </r>
  <r>
    <n v="8"/>
    <x v="7"/>
    <s v="Bangalore"/>
    <x v="8"/>
    <x v="1"/>
    <n v="180"/>
    <n v="20651.34"/>
    <n v="3717241"/>
    <n v="128"/>
  </r>
  <r>
    <n v="8"/>
    <x v="7"/>
    <s v="Bangalore"/>
    <x v="8"/>
    <x v="2"/>
    <n v="423"/>
    <n v="6972.25"/>
    <n v="2949261"/>
    <n v="356"/>
  </r>
  <r>
    <n v="8"/>
    <x v="7"/>
    <s v="Bangalore"/>
    <x v="8"/>
    <x v="3"/>
    <n v="439"/>
    <n v="1203.5899999999999"/>
    <n v="528376"/>
    <n v="381"/>
  </r>
  <r>
    <n v="8"/>
    <x v="7"/>
    <s v="Bangalore"/>
    <x v="9"/>
    <x v="0"/>
    <n v="888"/>
    <n v="5348"/>
    <n v="4749028"/>
    <n v="767"/>
  </r>
  <r>
    <n v="8"/>
    <x v="7"/>
    <s v="Bangalore"/>
    <x v="9"/>
    <x v="1"/>
    <n v="196"/>
    <n v="21744.44"/>
    <n v="4261911"/>
    <n v="144"/>
  </r>
  <r>
    <n v="8"/>
    <x v="7"/>
    <s v="Bangalore"/>
    <x v="9"/>
    <x v="2"/>
    <n v="368"/>
    <n v="6349.33"/>
    <n v="2336554"/>
    <n v="343"/>
  </r>
  <r>
    <n v="8"/>
    <x v="7"/>
    <s v="Bangalore"/>
    <x v="9"/>
    <x v="3"/>
    <n v="755"/>
    <n v="1125.75"/>
    <n v="849940"/>
    <n v="645"/>
  </r>
  <r>
    <n v="8"/>
    <x v="7"/>
    <s v="Bangalore"/>
    <x v="10"/>
    <x v="0"/>
    <n v="1021"/>
    <n v="5338.97"/>
    <n v="5451089"/>
    <n v="960"/>
  </r>
  <r>
    <n v="8"/>
    <x v="7"/>
    <s v="Bangalore"/>
    <x v="10"/>
    <x v="1"/>
    <n v="130"/>
    <n v="21373.06"/>
    <n v="2778498"/>
    <n v="117"/>
  </r>
  <r>
    <n v="8"/>
    <x v="7"/>
    <s v="Bangalore"/>
    <x v="10"/>
    <x v="2"/>
    <n v="359"/>
    <n v="7061.95"/>
    <n v="2535241"/>
    <n v="265"/>
  </r>
  <r>
    <n v="8"/>
    <x v="7"/>
    <s v="Bangalore"/>
    <x v="10"/>
    <x v="3"/>
    <n v="755"/>
    <n v="1118.31"/>
    <n v="844321"/>
    <n v="633"/>
  </r>
  <r>
    <n v="8"/>
    <x v="7"/>
    <s v="Bangalore"/>
    <x v="11"/>
    <x v="0"/>
    <n v="1188"/>
    <n v="5254.86"/>
    <n v="6242770"/>
    <n v="916"/>
  </r>
  <r>
    <n v="8"/>
    <x v="7"/>
    <s v="Bangalore"/>
    <x v="11"/>
    <x v="1"/>
    <n v="145"/>
    <n v="21502.73"/>
    <n v="3117896"/>
    <n v="113"/>
  </r>
  <r>
    <n v="8"/>
    <x v="7"/>
    <s v="Bangalore"/>
    <x v="11"/>
    <x v="2"/>
    <n v="432"/>
    <n v="6292.04"/>
    <n v="2718163"/>
    <n v="370"/>
  </r>
  <r>
    <n v="8"/>
    <x v="7"/>
    <s v="Bangalore"/>
    <x v="11"/>
    <x v="3"/>
    <n v="764"/>
    <n v="1274.6300000000001"/>
    <n v="973814"/>
    <n v="683"/>
  </r>
  <r>
    <n v="9"/>
    <x v="8"/>
    <s v="Bangalore"/>
    <x v="0"/>
    <x v="0"/>
    <n v="925"/>
    <n v="5537.28"/>
    <n v="5121982"/>
    <n v="738"/>
  </r>
  <r>
    <n v="9"/>
    <x v="8"/>
    <s v="Bangalore"/>
    <x v="0"/>
    <x v="1"/>
    <n v="178"/>
    <n v="21310.92"/>
    <n v="3793343"/>
    <n v="166"/>
  </r>
  <r>
    <n v="9"/>
    <x v="8"/>
    <s v="Bangalore"/>
    <x v="0"/>
    <x v="2"/>
    <n v="477"/>
    <n v="6752.66"/>
    <n v="3221021"/>
    <n v="341"/>
  </r>
  <r>
    <n v="9"/>
    <x v="8"/>
    <s v="Bangalore"/>
    <x v="0"/>
    <x v="3"/>
    <n v="1130"/>
    <n v="1240.8499999999999"/>
    <n v="1402162"/>
    <n v="838"/>
  </r>
  <r>
    <n v="9"/>
    <x v="8"/>
    <s v="Bangalore"/>
    <x v="1"/>
    <x v="0"/>
    <n v="1123"/>
    <n v="5326.59"/>
    <n v="5981765"/>
    <n v="883"/>
  </r>
  <r>
    <n v="9"/>
    <x v="8"/>
    <s v="Bangalore"/>
    <x v="1"/>
    <x v="1"/>
    <n v="219"/>
    <n v="20939.900000000001"/>
    <n v="4585839"/>
    <n v="155"/>
  </r>
  <r>
    <n v="9"/>
    <x v="8"/>
    <s v="Bangalore"/>
    <x v="1"/>
    <x v="2"/>
    <n v="469"/>
    <n v="6532.32"/>
    <n v="3063660"/>
    <n v="417"/>
  </r>
  <r>
    <n v="9"/>
    <x v="8"/>
    <s v="Bangalore"/>
    <x v="1"/>
    <x v="3"/>
    <n v="406"/>
    <n v="1237.72"/>
    <n v="502515"/>
    <n v="290"/>
  </r>
  <r>
    <n v="9"/>
    <x v="8"/>
    <s v="Bangalore"/>
    <x v="2"/>
    <x v="0"/>
    <n v="632"/>
    <n v="5273.79"/>
    <n v="3333037"/>
    <n v="564"/>
  </r>
  <r>
    <n v="9"/>
    <x v="8"/>
    <s v="Bangalore"/>
    <x v="2"/>
    <x v="1"/>
    <n v="157"/>
    <n v="19871.810000000001"/>
    <n v="3119874"/>
    <n v="109"/>
  </r>
  <r>
    <n v="9"/>
    <x v="8"/>
    <s v="Bangalore"/>
    <x v="2"/>
    <x v="2"/>
    <n v="425"/>
    <n v="6331.04"/>
    <n v="2690692"/>
    <n v="381"/>
  </r>
  <r>
    <n v="9"/>
    <x v="8"/>
    <s v="Bangalore"/>
    <x v="2"/>
    <x v="3"/>
    <n v="556"/>
    <n v="1182.23"/>
    <n v="657318"/>
    <n v="430"/>
  </r>
  <r>
    <n v="9"/>
    <x v="8"/>
    <s v="Bangalore"/>
    <x v="3"/>
    <x v="0"/>
    <n v="729"/>
    <n v="5155.3100000000004"/>
    <n v="3758223"/>
    <n v="534"/>
  </r>
  <r>
    <n v="9"/>
    <x v="8"/>
    <s v="Bangalore"/>
    <x v="3"/>
    <x v="1"/>
    <n v="180"/>
    <n v="22084.92"/>
    <n v="3975285"/>
    <n v="169"/>
  </r>
  <r>
    <n v="9"/>
    <x v="8"/>
    <s v="Bangalore"/>
    <x v="3"/>
    <x v="2"/>
    <n v="291"/>
    <n v="6829.25"/>
    <n v="1987312"/>
    <n v="266"/>
  </r>
  <r>
    <n v="9"/>
    <x v="8"/>
    <s v="Bangalore"/>
    <x v="3"/>
    <x v="3"/>
    <n v="483"/>
    <n v="1224.33"/>
    <n v="591352"/>
    <n v="386"/>
  </r>
  <r>
    <n v="9"/>
    <x v="8"/>
    <s v="Bangalore"/>
    <x v="4"/>
    <x v="0"/>
    <n v="1052"/>
    <n v="5290.88"/>
    <n v="5566009"/>
    <n v="971"/>
  </r>
  <r>
    <n v="9"/>
    <x v="8"/>
    <s v="Bangalore"/>
    <x v="4"/>
    <x v="1"/>
    <n v="114"/>
    <n v="21694.67"/>
    <n v="2473193"/>
    <n v="101"/>
  </r>
  <r>
    <n v="9"/>
    <x v="8"/>
    <s v="Bangalore"/>
    <x v="4"/>
    <x v="2"/>
    <n v="362"/>
    <n v="6722.26"/>
    <n v="2433459"/>
    <n v="286"/>
  </r>
  <r>
    <n v="9"/>
    <x v="8"/>
    <s v="Bangalore"/>
    <x v="4"/>
    <x v="3"/>
    <n v="670"/>
    <n v="1177.06"/>
    <n v="788630"/>
    <n v="547"/>
  </r>
  <r>
    <n v="9"/>
    <x v="8"/>
    <s v="Bangalore"/>
    <x v="5"/>
    <x v="0"/>
    <n v="1138"/>
    <n v="5368.55"/>
    <n v="6109404"/>
    <n v="1015"/>
  </r>
  <r>
    <n v="9"/>
    <x v="8"/>
    <s v="Bangalore"/>
    <x v="5"/>
    <x v="1"/>
    <n v="149"/>
    <n v="21865.4"/>
    <n v="3257945"/>
    <n v="132"/>
  </r>
  <r>
    <n v="9"/>
    <x v="8"/>
    <s v="Bangalore"/>
    <x v="5"/>
    <x v="2"/>
    <n v="380"/>
    <n v="6651.51"/>
    <n v="2527575"/>
    <n v="266"/>
  </r>
  <r>
    <n v="9"/>
    <x v="8"/>
    <s v="Bangalore"/>
    <x v="5"/>
    <x v="3"/>
    <n v="854"/>
    <n v="1065.8699999999999"/>
    <n v="910255"/>
    <n v="624"/>
  </r>
  <r>
    <n v="9"/>
    <x v="8"/>
    <s v="Bangalore"/>
    <x v="6"/>
    <x v="0"/>
    <n v="835"/>
    <n v="5373.1"/>
    <n v="4486540"/>
    <n v="631"/>
  </r>
  <r>
    <n v="9"/>
    <x v="8"/>
    <s v="Bangalore"/>
    <x v="6"/>
    <x v="1"/>
    <n v="162"/>
    <n v="20236.22"/>
    <n v="3278268"/>
    <n v="139"/>
  </r>
  <r>
    <n v="9"/>
    <x v="8"/>
    <s v="Bangalore"/>
    <x v="6"/>
    <x v="2"/>
    <n v="316"/>
    <n v="6263.97"/>
    <n v="1979415"/>
    <n v="298"/>
  </r>
  <r>
    <n v="9"/>
    <x v="8"/>
    <s v="Bangalore"/>
    <x v="6"/>
    <x v="3"/>
    <n v="1120"/>
    <n v="1396.53"/>
    <n v="1564117"/>
    <n v="787"/>
  </r>
  <r>
    <n v="9"/>
    <x v="8"/>
    <s v="Bangalore"/>
    <x v="7"/>
    <x v="0"/>
    <n v="873"/>
    <n v="5112.6000000000004"/>
    <n v="4463296"/>
    <n v="823"/>
  </r>
  <r>
    <n v="9"/>
    <x v="8"/>
    <s v="Bangalore"/>
    <x v="7"/>
    <x v="1"/>
    <n v="131"/>
    <n v="22795.040000000001"/>
    <n v="2986150"/>
    <n v="113"/>
  </r>
  <r>
    <n v="9"/>
    <x v="8"/>
    <s v="Bangalore"/>
    <x v="7"/>
    <x v="2"/>
    <n v="416"/>
    <n v="6811.64"/>
    <n v="2833642"/>
    <n v="295"/>
  </r>
  <r>
    <n v="9"/>
    <x v="8"/>
    <s v="Bangalore"/>
    <x v="7"/>
    <x v="3"/>
    <n v="613"/>
    <n v="1247.8900000000001"/>
    <n v="764955"/>
    <n v="543"/>
  </r>
  <r>
    <n v="9"/>
    <x v="8"/>
    <s v="Bangalore"/>
    <x v="8"/>
    <x v="0"/>
    <n v="1152"/>
    <n v="5299.28"/>
    <n v="6104770"/>
    <n v="984"/>
  </r>
  <r>
    <n v="9"/>
    <x v="8"/>
    <s v="Bangalore"/>
    <x v="8"/>
    <x v="1"/>
    <n v="247"/>
    <n v="20573.310000000001"/>
    <n v="5081607"/>
    <n v="194"/>
  </r>
  <r>
    <n v="9"/>
    <x v="8"/>
    <s v="Bangalore"/>
    <x v="8"/>
    <x v="2"/>
    <n v="441"/>
    <n v="6762.51"/>
    <n v="2982269"/>
    <n v="318"/>
  </r>
  <r>
    <n v="9"/>
    <x v="8"/>
    <s v="Bangalore"/>
    <x v="8"/>
    <x v="3"/>
    <n v="988"/>
    <n v="995.83"/>
    <n v="983877"/>
    <n v="711"/>
  </r>
  <r>
    <n v="9"/>
    <x v="8"/>
    <s v="Bangalore"/>
    <x v="9"/>
    <x v="0"/>
    <n v="702"/>
    <n v="5339.08"/>
    <n v="3748036"/>
    <n v="612"/>
  </r>
  <r>
    <n v="9"/>
    <x v="8"/>
    <s v="Bangalore"/>
    <x v="9"/>
    <x v="1"/>
    <n v="242"/>
    <n v="20649.89"/>
    <n v="4997274"/>
    <n v="181"/>
  </r>
  <r>
    <n v="9"/>
    <x v="8"/>
    <s v="Bangalore"/>
    <x v="9"/>
    <x v="2"/>
    <n v="322"/>
    <n v="6717.89"/>
    <n v="2163160"/>
    <n v="282"/>
  </r>
  <r>
    <n v="9"/>
    <x v="8"/>
    <s v="Bangalore"/>
    <x v="9"/>
    <x v="3"/>
    <n v="663"/>
    <n v="1135.31"/>
    <n v="752708"/>
    <n v="621"/>
  </r>
  <r>
    <n v="9"/>
    <x v="8"/>
    <s v="Bangalore"/>
    <x v="10"/>
    <x v="0"/>
    <n v="917"/>
    <n v="5403.61"/>
    <n v="4955113"/>
    <n v="752"/>
  </r>
  <r>
    <n v="9"/>
    <x v="8"/>
    <s v="Bangalore"/>
    <x v="10"/>
    <x v="1"/>
    <n v="183"/>
    <n v="22546.39"/>
    <n v="4125989"/>
    <n v="153"/>
  </r>
  <r>
    <n v="9"/>
    <x v="8"/>
    <s v="Bangalore"/>
    <x v="10"/>
    <x v="2"/>
    <n v="221"/>
    <n v="7322.58"/>
    <n v="1618290"/>
    <n v="183"/>
  </r>
  <r>
    <n v="9"/>
    <x v="8"/>
    <s v="Bangalore"/>
    <x v="10"/>
    <x v="3"/>
    <n v="413"/>
    <n v="1131.08"/>
    <n v="467137"/>
    <n v="297"/>
  </r>
  <r>
    <n v="9"/>
    <x v="8"/>
    <s v="Bangalore"/>
    <x v="11"/>
    <x v="0"/>
    <n v="611"/>
    <n v="5169.72"/>
    <n v="3158697"/>
    <n v="560"/>
  </r>
  <r>
    <n v="9"/>
    <x v="8"/>
    <s v="Bangalore"/>
    <x v="11"/>
    <x v="1"/>
    <n v="221"/>
    <n v="21112.89"/>
    <n v="4665949"/>
    <n v="172"/>
  </r>
  <r>
    <n v="9"/>
    <x v="8"/>
    <s v="Bangalore"/>
    <x v="11"/>
    <x v="2"/>
    <n v="437"/>
    <n v="6390.53"/>
    <n v="2792660"/>
    <n v="392"/>
  </r>
  <r>
    <n v="9"/>
    <x v="8"/>
    <s v="Bangalore"/>
    <x v="11"/>
    <x v="3"/>
    <n v="1094"/>
    <n v="1147.07"/>
    <n v="1254895"/>
    <n v="777"/>
  </r>
  <r>
    <n v="10"/>
    <x v="9"/>
    <s v="Pune"/>
    <x v="0"/>
    <x v="0"/>
    <n v="1193"/>
    <n v="5401.2"/>
    <n v="6443629"/>
    <n v="982"/>
  </r>
  <r>
    <n v="10"/>
    <x v="9"/>
    <s v="Pune"/>
    <x v="0"/>
    <x v="1"/>
    <n v="134"/>
    <n v="19902.07"/>
    <n v="2666878"/>
    <n v="101"/>
  </r>
  <r>
    <n v="10"/>
    <x v="9"/>
    <s v="Pune"/>
    <x v="0"/>
    <x v="2"/>
    <n v="406"/>
    <n v="6622.79"/>
    <n v="2688852"/>
    <n v="372"/>
  </r>
  <r>
    <n v="10"/>
    <x v="9"/>
    <s v="Pune"/>
    <x v="0"/>
    <x v="3"/>
    <n v="558"/>
    <n v="1033.1400000000001"/>
    <n v="576493"/>
    <n v="448"/>
  </r>
  <r>
    <n v="10"/>
    <x v="9"/>
    <s v="Pune"/>
    <x v="1"/>
    <x v="0"/>
    <n v="623"/>
    <n v="4927.13"/>
    <n v="3069604"/>
    <n v="493"/>
  </r>
  <r>
    <n v="10"/>
    <x v="9"/>
    <s v="Pune"/>
    <x v="1"/>
    <x v="1"/>
    <n v="119"/>
    <n v="20778.72"/>
    <n v="2472668"/>
    <n v="98"/>
  </r>
  <r>
    <n v="10"/>
    <x v="9"/>
    <s v="Pune"/>
    <x v="1"/>
    <x v="2"/>
    <n v="249"/>
    <n v="6767.34"/>
    <n v="1685067"/>
    <n v="201"/>
  </r>
  <r>
    <n v="10"/>
    <x v="9"/>
    <s v="Pune"/>
    <x v="1"/>
    <x v="3"/>
    <n v="516"/>
    <n v="1304.71"/>
    <n v="673230"/>
    <n v="412"/>
  </r>
  <r>
    <n v="10"/>
    <x v="9"/>
    <s v="Pune"/>
    <x v="2"/>
    <x v="0"/>
    <n v="1177"/>
    <n v="5563.39"/>
    <n v="6548109"/>
    <n v="1016"/>
  </r>
  <r>
    <n v="10"/>
    <x v="9"/>
    <s v="Pune"/>
    <x v="2"/>
    <x v="1"/>
    <n v="214"/>
    <n v="21851.439999999999"/>
    <n v="4676209"/>
    <n v="164"/>
  </r>
  <r>
    <n v="10"/>
    <x v="9"/>
    <s v="Pune"/>
    <x v="2"/>
    <x v="2"/>
    <n v="324"/>
    <n v="6859.86"/>
    <n v="2222594"/>
    <n v="277"/>
  </r>
  <r>
    <n v="10"/>
    <x v="9"/>
    <s v="Pune"/>
    <x v="2"/>
    <x v="3"/>
    <n v="1136"/>
    <n v="1074.6199999999999"/>
    <n v="1220767"/>
    <n v="832"/>
  </r>
  <r>
    <n v="10"/>
    <x v="9"/>
    <s v="Pune"/>
    <x v="3"/>
    <x v="0"/>
    <n v="1119"/>
    <n v="5631.4"/>
    <n v="6301534"/>
    <n v="960"/>
  </r>
  <r>
    <n v="10"/>
    <x v="9"/>
    <s v="Pune"/>
    <x v="3"/>
    <x v="1"/>
    <n v="113"/>
    <n v="20267.669999999998"/>
    <n v="2290246"/>
    <n v="106"/>
  </r>
  <r>
    <n v="10"/>
    <x v="9"/>
    <s v="Pune"/>
    <x v="3"/>
    <x v="2"/>
    <n v="492"/>
    <n v="6692.33"/>
    <n v="3292628"/>
    <n v="374"/>
  </r>
  <r>
    <n v="10"/>
    <x v="9"/>
    <s v="Pune"/>
    <x v="3"/>
    <x v="3"/>
    <n v="780"/>
    <n v="1317.27"/>
    <n v="1027473"/>
    <n v="632"/>
  </r>
  <r>
    <n v="10"/>
    <x v="9"/>
    <s v="Pune"/>
    <x v="4"/>
    <x v="0"/>
    <n v="1103"/>
    <n v="5662.34"/>
    <n v="6245559"/>
    <n v="798"/>
  </r>
  <r>
    <n v="10"/>
    <x v="9"/>
    <s v="Pune"/>
    <x v="4"/>
    <x v="1"/>
    <n v="244"/>
    <n v="22207.78"/>
    <n v="5418699"/>
    <n v="194"/>
  </r>
  <r>
    <n v="10"/>
    <x v="9"/>
    <s v="Pune"/>
    <x v="4"/>
    <x v="2"/>
    <n v="227"/>
    <n v="6942.19"/>
    <n v="1575877"/>
    <n v="177"/>
  </r>
  <r>
    <n v="10"/>
    <x v="9"/>
    <s v="Pune"/>
    <x v="4"/>
    <x v="3"/>
    <n v="823"/>
    <n v="1075.42"/>
    <n v="885073"/>
    <n v="699"/>
  </r>
  <r>
    <n v="10"/>
    <x v="9"/>
    <s v="Pune"/>
    <x v="5"/>
    <x v="0"/>
    <n v="900"/>
    <n v="5146.6099999999997"/>
    <n v="4631948"/>
    <n v="828"/>
  </r>
  <r>
    <n v="10"/>
    <x v="9"/>
    <s v="Pune"/>
    <x v="5"/>
    <x v="1"/>
    <n v="217"/>
    <n v="20891.88"/>
    <n v="4533538"/>
    <n v="161"/>
  </r>
  <r>
    <n v="10"/>
    <x v="9"/>
    <s v="Pune"/>
    <x v="5"/>
    <x v="2"/>
    <n v="292"/>
    <n v="6998.88"/>
    <n v="2043673"/>
    <n v="235"/>
  </r>
  <r>
    <n v="10"/>
    <x v="9"/>
    <s v="Pune"/>
    <x v="5"/>
    <x v="3"/>
    <n v="675"/>
    <n v="1150.6199999999999"/>
    <n v="776671"/>
    <n v="571"/>
  </r>
  <r>
    <n v="10"/>
    <x v="9"/>
    <s v="Pune"/>
    <x v="6"/>
    <x v="0"/>
    <n v="1112"/>
    <n v="5151.6000000000004"/>
    <n v="5728575"/>
    <n v="883"/>
  </r>
  <r>
    <n v="10"/>
    <x v="9"/>
    <s v="Pune"/>
    <x v="6"/>
    <x v="1"/>
    <n v="206"/>
    <n v="20456.28"/>
    <n v="4213993"/>
    <n v="182"/>
  </r>
  <r>
    <n v="10"/>
    <x v="9"/>
    <s v="Pune"/>
    <x v="6"/>
    <x v="2"/>
    <n v="403"/>
    <n v="7064.35"/>
    <n v="2846934"/>
    <n v="363"/>
  </r>
  <r>
    <n v="10"/>
    <x v="9"/>
    <s v="Pune"/>
    <x v="6"/>
    <x v="3"/>
    <n v="555"/>
    <n v="1191.05"/>
    <n v="661031"/>
    <n v="508"/>
  </r>
  <r>
    <n v="10"/>
    <x v="9"/>
    <s v="Pune"/>
    <x v="7"/>
    <x v="0"/>
    <n v="850"/>
    <n v="5234.62"/>
    <n v="4449430"/>
    <n v="607"/>
  </r>
  <r>
    <n v="10"/>
    <x v="9"/>
    <s v="Pune"/>
    <x v="7"/>
    <x v="1"/>
    <n v="136"/>
    <n v="21059.24"/>
    <n v="2864057"/>
    <n v="127"/>
  </r>
  <r>
    <n v="10"/>
    <x v="9"/>
    <s v="Pune"/>
    <x v="7"/>
    <x v="2"/>
    <n v="484"/>
    <n v="6328.8"/>
    <n v="3063138"/>
    <n v="360"/>
  </r>
  <r>
    <n v="10"/>
    <x v="9"/>
    <s v="Pune"/>
    <x v="7"/>
    <x v="3"/>
    <n v="458"/>
    <n v="1262.92"/>
    <n v="578420"/>
    <n v="356"/>
  </r>
  <r>
    <n v="10"/>
    <x v="9"/>
    <s v="Pune"/>
    <x v="8"/>
    <x v="0"/>
    <n v="805"/>
    <n v="5123.78"/>
    <n v="4124642"/>
    <n v="660"/>
  </r>
  <r>
    <n v="10"/>
    <x v="9"/>
    <s v="Pune"/>
    <x v="8"/>
    <x v="1"/>
    <n v="142"/>
    <n v="22792.77"/>
    <n v="3236573"/>
    <n v="100"/>
  </r>
  <r>
    <n v="10"/>
    <x v="9"/>
    <s v="Pune"/>
    <x v="8"/>
    <x v="2"/>
    <n v="416"/>
    <n v="6974.9"/>
    <n v="2901558"/>
    <n v="338"/>
  </r>
  <r>
    <n v="10"/>
    <x v="9"/>
    <s v="Pune"/>
    <x v="8"/>
    <x v="3"/>
    <n v="894"/>
    <n v="1234.6500000000001"/>
    <n v="1103776"/>
    <n v="742"/>
  </r>
  <r>
    <n v="10"/>
    <x v="9"/>
    <s v="Pune"/>
    <x v="9"/>
    <x v="0"/>
    <n v="1027"/>
    <n v="5086.8900000000003"/>
    <n v="5224233"/>
    <n v="752"/>
  </r>
  <r>
    <n v="10"/>
    <x v="9"/>
    <s v="Pune"/>
    <x v="9"/>
    <x v="1"/>
    <n v="151"/>
    <n v="21573.439999999999"/>
    <n v="3257590"/>
    <n v="132"/>
  </r>
  <r>
    <n v="10"/>
    <x v="9"/>
    <s v="Pune"/>
    <x v="9"/>
    <x v="2"/>
    <n v="433"/>
    <n v="6480.19"/>
    <n v="2805924"/>
    <n v="323"/>
  </r>
  <r>
    <n v="10"/>
    <x v="9"/>
    <s v="Pune"/>
    <x v="9"/>
    <x v="3"/>
    <n v="1175"/>
    <n v="1250.54"/>
    <n v="1469388"/>
    <n v="868"/>
  </r>
  <r>
    <n v="10"/>
    <x v="9"/>
    <s v="Pune"/>
    <x v="10"/>
    <x v="0"/>
    <n v="957"/>
    <n v="5261.86"/>
    <n v="5035603"/>
    <n v="835"/>
  </r>
  <r>
    <n v="10"/>
    <x v="9"/>
    <s v="Pune"/>
    <x v="10"/>
    <x v="1"/>
    <n v="154"/>
    <n v="21673.95"/>
    <n v="3337788"/>
    <n v="145"/>
  </r>
  <r>
    <n v="10"/>
    <x v="9"/>
    <s v="Pune"/>
    <x v="10"/>
    <x v="2"/>
    <n v="313"/>
    <n v="6900.54"/>
    <n v="2159869"/>
    <n v="286"/>
  </r>
  <r>
    <n v="10"/>
    <x v="9"/>
    <s v="Pune"/>
    <x v="10"/>
    <x v="3"/>
    <n v="987"/>
    <n v="1148.31"/>
    <n v="1133382"/>
    <n v="718"/>
  </r>
  <r>
    <n v="10"/>
    <x v="9"/>
    <s v="Pune"/>
    <x v="11"/>
    <x v="0"/>
    <n v="944"/>
    <n v="5521.11"/>
    <n v="5211923"/>
    <n v="711"/>
  </r>
  <r>
    <n v="10"/>
    <x v="9"/>
    <s v="Pune"/>
    <x v="11"/>
    <x v="1"/>
    <n v="241"/>
    <n v="22449.62"/>
    <n v="5410359"/>
    <n v="192"/>
  </r>
  <r>
    <n v="10"/>
    <x v="9"/>
    <s v="Pune"/>
    <x v="11"/>
    <x v="2"/>
    <n v="268"/>
    <n v="6144.72"/>
    <n v="1646784"/>
    <n v="198"/>
  </r>
  <r>
    <n v="10"/>
    <x v="9"/>
    <s v="Pune"/>
    <x v="11"/>
    <x v="3"/>
    <n v="1103"/>
    <n v="1294.3499999999999"/>
    <n v="1427664"/>
    <n v="785"/>
  </r>
  <r>
    <n v="11"/>
    <x v="10"/>
    <s v="Chennai"/>
    <x v="0"/>
    <x v="0"/>
    <n v="1184"/>
    <n v="5233.1000000000004"/>
    <n v="6195989"/>
    <n v="914"/>
  </r>
  <r>
    <n v="11"/>
    <x v="10"/>
    <s v="Chennai"/>
    <x v="0"/>
    <x v="1"/>
    <n v="167"/>
    <n v="21664.95"/>
    <n v="3618047"/>
    <n v="144"/>
  </r>
  <r>
    <n v="11"/>
    <x v="10"/>
    <s v="Chennai"/>
    <x v="0"/>
    <x v="2"/>
    <n v="301"/>
    <n v="7056.84"/>
    <n v="2124109"/>
    <n v="271"/>
  </r>
  <r>
    <n v="11"/>
    <x v="10"/>
    <s v="Chennai"/>
    <x v="0"/>
    <x v="3"/>
    <n v="993"/>
    <n v="1077.24"/>
    <n v="1069699"/>
    <n v="913"/>
  </r>
  <r>
    <n v="11"/>
    <x v="10"/>
    <s v="Chennai"/>
    <x v="1"/>
    <x v="0"/>
    <n v="878"/>
    <n v="5557.95"/>
    <n v="4879881"/>
    <n v="640"/>
  </r>
  <r>
    <n v="11"/>
    <x v="10"/>
    <s v="Chennai"/>
    <x v="1"/>
    <x v="1"/>
    <n v="153"/>
    <n v="21290.880000000001"/>
    <n v="3257505"/>
    <n v="131"/>
  </r>
  <r>
    <n v="11"/>
    <x v="10"/>
    <s v="Chennai"/>
    <x v="1"/>
    <x v="2"/>
    <n v="412"/>
    <n v="6371.12"/>
    <n v="2624900"/>
    <n v="329"/>
  </r>
  <r>
    <n v="11"/>
    <x v="10"/>
    <s v="Chennai"/>
    <x v="1"/>
    <x v="3"/>
    <n v="1004"/>
    <n v="1055.99"/>
    <n v="1060219"/>
    <n v="815"/>
  </r>
  <r>
    <n v="11"/>
    <x v="10"/>
    <s v="Chennai"/>
    <x v="2"/>
    <x v="0"/>
    <n v="904"/>
    <n v="4869.75"/>
    <n v="4402258"/>
    <n v="636"/>
  </r>
  <r>
    <n v="11"/>
    <x v="10"/>
    <s v="Chennai"/>
    <x v="2"/>
    <x v="1"/>
    <n v="110"/>
    <n v="22914.639999999999"/>
    <n v="2520610"/>
    <n v="93"/>
  </r>
  <r>
    <n v="11"/>
    <x v="10"/>
    <s v="Chennai"/>
    <x v="2"/>
    <x v="2"/>
    <n v="309"/>
    <n v="7080.75"/>
    <n v="2187953"/>
    <n v="254"/>
  </r>
  <r>
    <n v="11"/>
    <x v="10"/>
    <s v="Chennai"/>
    <x v="2"/>
    <x v="3"/>
    <n v="484"/>
    <n v="1269.77"/>
    <n v="614570"/>
    <n v="443"/>
  </r>
  <r>
    <n v="11"/>
    <x v="10"/>
    <s v="Chennai"/>
    <x v="3"/>
    <x v="0"/>
    <n v="1049"/>
    <n v="5209.1499999999996"/>
    <n v="5464400"/>
    <n v="823"/>
  </r>
  <r>
    <n v="11"/>
    <x v="10"/>
    <s v="Chennai"/>
    <x v="3"/>
    <x v="1"/>
    <n v="111"/>
    <n v="21484.05"/>
    <n v="2384730"/>
    <n v="81"/>
  </r>
  <r>
    <n v="11"/>
    <x v="10"/>
    <s v="Chennai"/>
    <x v="3"/>
    <x v="2"/>
    <n v="492"/>
    <n v="6655"/>
    <n v="3274262"/>
    <n v="392"/>
  </r>
  <r>
    <n v="11"/>
    <x v="10"/>
    <s v="Chennai"/>
    <x v="3"/>
    <x v="3"/>
    <n v="742"/>
    <n v="1036.57"/>
    <n v="769135"/>
    <n v="670"/>
  </r>
  <r>
    <n v="11"/>
    <x v="10"/>
    <s v="Chennai"/>
    <x v="4"/>
    <x v="0"/>
    <n v="1097"/>
    <n v="5335.88"/>
    <n v="5853464"/>
    <n v="993"/>
  </r>
  <r>
    <n v="11"/>
    <x v="10"/>
    <s v="Chennai"/>
    <x v="4"/>
    <x v="1"/>
    <n v="206"/>
    <n v="22956.62"/>
    <n v="4729065"/>
    <n v="144"/>
  </r>
  <r>
    <n v="11"/>
    <x v="10"/>
    <s v="Chennai"/>
    <x v="4"/>
    <x v="2"/>
    <n v="316"/>
    <n v="6624.19"/>
    <n v="2093245"/>
    <n v="294"/>
  </r>
  <r>
    <n v="11"/>
    <x v="10"/>
    <s v="Chennai"/>
    <x v="4"/>
    <x v="3"/>
    <n v="1182"/>
    <n v="1239.21"/>
    <n v="1464744"/>
    <n v="885"/>
  </r>
  <r>
    <n v="11"/>
    <x v="10"/>
    <s v="Chennai"/>
    <x v="5"/>
    <x v="0"/>
    <n v="740"/>
    <n v="5149.21"/>
    <n v="3810413"/>
    <n v="607"/>
  </r>
  <r>
    <n v="11"/>
    <x v="10"/>
    <s v="Chennai"/>
    <x v="5"/>
    <x v="1"/>
    <n v="216"/>
    <n v="21275.46"/>
    <n v="4595499"/>
    <n v="166"/>
  </r>
  <r>
    <n v="11"/>
    <x v="10"/>
    <s v="Chennai"/>
    <x v="5"/>
    <x v="2"/>
    <n v="226"/>
    <n v="6717.34"/>
    <n v="1518119"/>
    <n v="191"/>
  </r>
  <r>
    <n v="11"/>
    <x v="10"/>
    <s v="Chennai"/>
    <x v="5"/>
    <x v="3"/>
    <n v="505"/>
    <n v="1276.97"/>
    <n v="644868"/>
    <n v="430"/>
  </r>
  <r>
    <n v="11"/>
    <x v="10"/>
    <s v="Chennai"/>
    <x v="6"/>
    <x v="0"/>
    <n v="601"/>
    <n v="5179.34"/>
    <n v="3112781"/>
    <n v="439"/>
  </r>
  <r>
    <n v="11"/>
    <x v="10"/>
    <s v="Chennai"/>
    <x v="6"/>
    <x v="1"/>
    <n v="106"/>
    <n v="20230.55"/>
    <n v="2144438"/>
    <n v="92"/>
  </r>
  <r>
    <n v="11"/>
    <x v="10"/>
    <s v="Chennai"/>
    <x v="6"/>
    <x v="2"/>
    <n v="273"/>
    <n v="6537.9"/>
    <n v="1784848"/>
    <n v="211"/>
  </r>
  <r>
    <n v="11"/>
    <x v="10"/>
    <s v="Chennai"/>
    <x v="6"/>
    <x v="3"/>
    <n v="640"/>
    <n v="1251.3499999999999"/>
    <n v="800867"/>
    <n v="538"/>
  </r>
  <r>
    <n v="11"/>
    <x v="10"/>
    <s v="Chennai"/>
    <x v="7"/>
    <x v="0"/>
    <n v="897"/>
    <n v="5271.23"/>
    <n v="4728294"/>
    <n v="647"/>
  </r>
  <r>
    <n v="11"/>
    <x v="10"/>
    <s v="Chennai"/>
    <x v="7"/>
    <x v="1"/>
    <n v="153"/>
    <n v="22136.97"/>
    <n v="3386956"/>
    <n v="128"/>
  </r>
  <r>
    <n v="11"/>
    <x v="10"/>
    <s v="Chennai"/>
    <x v="7"/>
    <x v="2"/>
    <n v="372"/>
    <n v="6841.59"/>
    <n v="2545071"/>
    <n v="316"/>
  </r>
  <r>
    <n v="11"/>
    <x v="10"/>
    <s v="Chennai"/>
    <x v="7"/>
    <x v="3"/>
    <n v="517"/>
    <n v="1213.92"/>
    <n v="627597"/>
    <n v="428"/>
  </r>
  <r>
    <n v="11"/>
    <x v="10"/>
    <s v="Chennai"/>
    <x v="8"/>
    <x v="0"/>
    <n v="819"/>
    <n v="5159.6000000000004"/>
    <n v="4225714"/>
    <n v="698"/>
  </r>
  <r>
    <n v="11"/>
    <x v="10"/>
    <s v="Chennai"/>
    <x v="8"/>
    <x v="1"/>
    <n v="221"/>
    <n v="20969.68"/>
    <n v="4634299"/>
    <n v="174"/>
  </r>
  <r>
    <n v="11"/>
    <x v="10"/>
    <s v="Chennai"/>
    <x v="8"/>
    <x v="2"/>
    <n v="369"/>
    <n v="6617.4"/>
    <n v="2441822"/>
    <n v="280"/>
  </r>
  <r>
    <n v="11"/>
    <x v="10"/>
    <s v="Chennai"/>
    <x v="8"/>
    <x v="3"/>
    <n v="692"/>
    <n v="1275.1400000000001"/>
    <n v="882395"/>
    <n v="536"/>
  </r>
  <r>
    <n v="11"/>
    <x v="10"/>
    <s v="Chennai"/>
    <x v="9"/>
    <x v="0"/>
    <n v="1130"/>
    <n v="5387.11"/>
    <n v="6087436"/>
    <n v="1019"/>
  </r>
  <r>
    <n v="11"/>
    <x v="10"/>
    <s v="Chennai"/>
    <x v="9"/>
    <x v="1"/>
    <n v="246"/>
    <n v="22213.81"/>
    <n v="5464597"/>
    <n v="210"/>
  </r>
  <r>
    <n v="11"/>
    <x v="10"/>
    <s v="Chennai"/>
    <x v="9"/>
    <x v="2"/>
    <n v="441"/>
    <n v="6565.86"/>
    <n v="2895543"/>
    <n v="404"/>
  </r>
  <r>
    <n v="11"/>
    <x v="10"/>
    <s v="Chennai"/>
    <x v="9"/>
    <x v="3"/>
    <n v="1072"/>
    <n v="1141.3900000000001"/>
    <n v="1223575"/>
    <n v="808"/>
  </r>
  <r>
    <n v="11"/>
    <x v="10"/>
    <s v="Chennai"/>
    <x v="10"/>
    <x v="0"/>
    <n v="1031"/>
    <n v="5087.32"/>
    <n v="5245027"/>
    <n v="774"/>
  </r>
  <r>
    <n v="11"/>
    <x v="10"/>
    <s v="Chennai"/>
    <x v="10"/>
    <x v="1"/>
    <n v="110"/>
    <n v="20907.96"/>
    <n v="2299876"/>
    <n v="83"/>
  </r>
  <r>
    <n v="11"/>
    <x v="10"/>
    <s v="Chennai"/>
    <x v="10"/>
    <x v="2"/>
    <n v="277"/>
    <n v="6535.87"/>
    <n v="1810436"/>
    <n v="203"/>
  </r>
  <r>
    <n v="11"/>
    <x v="10"/>
    <s v="Chennai"/>
    <x v="10"/>
    <x v="3"/>
    <n v="719"/>
    <n v="1216.3599999999999"/>
    <n v="874561"/>
    <n v="527"/>
  </r>
  <r>
    <n v="11"/>
    <x v="10"/>
    <s v="Chennai"/>
    <x v="11"/>
    <x v="0"/>
    <n v="1196"/>
    <n v="5176.4399999999996"/>
    <n v="6191019"/>
    <n v="970"/>
  </r>
  <r>
    <n v="11"/>
    <x v="10"/>
    <s v="Chennai"/>
    <x v="11"/>
    <x v="1"/>
    <n v="123"/>
    <n v="23017.200000000001"/>
    <n v="2831115"/>
    <n v="90"/>
  </r>
  <r>
    <n v="11"/>
    <x v="10"/>
    <s v="Chennai"/>
    <x v="11"/>
    <x v="2"/>
    <n v="218"/>
    <n v="6205.28"/>
    <n v="1352750"/>
    <n v="201"/>
  </r>
  <r>
    <n v="11"/>
    <x v="10"/>
    <s v="Chennai"/>
    <x v="11"/>
    <x v="3"/>
    <n v="1020"/>
    <n v="1304.57"/>
    <n v="1330665"/>
    <n v="734"/>
  </r>
  <r>
    <n v="12"/>
    <x v="11"/>
    <s v="Bangalore"/>
    <x v="0"/>
    <x v="0"/>
    <n v="952"/>
    <n v="4973.7"/>
    <n v="4734962"/>
    <n v="753"/>
  </r>
  <r>
    <n v="12"/>
    <x v="11"/>
    <s v="Bangalore"/>
    <x v="0"/>
    <x v="1"/>
    <n v="169"/>
    <n v="22764.76"/>
    <n v="3847245"/>
    <n v="133"/>
  </r>
  <r>
    <n v="12"/>
    <x v="11"/>
    <s v="Bangalore"/>
    <x v="0"/>
    <x v="2"/>
    <n v="395"/>
    <n v="7071.56"/>
    <n v="2793268"/>
    <n v="342"/>
  </r>
  <r>
    <n v="12"/>
    <x v="11"/>
    <s v="Bangalore"/>
    <x v="0"/>
    <x v="3"/>
    <n v="827"/>
    <n v="1178.51"/>
    <n v="974625"/>
    <n v="627"/>
  </r>
  <r>
    <n v="12"/>
    <x v="11"/>
    <s v="Bangalore"/>
    <x v="1"/>
    <x v="0"/>
    <n v="748"/>
    <n v="5426.26"/>
    <n v="4058841"/>
    <n v="650"/>
  </r>
  <r>
    <n v="12"/>
    <x v="11"/>
    <s v="Bangalore"/>
    <x v="1"/>
    <x v="1"/>
    <n v="143"/>
    <n v="20254.71"/>
    <n v="2896423"/>
    <n v="111"/>
  </r>
  <r>
    <n v="12"/>
    <x v="11"/>
    <s v="Bangalore"/>
    <x v="1"/>
    <x v="2"/>
    <n v="458"/>
    <n v="6250.12"/>
    <n v="2862557"/>
    <n v="434"/>
  </r>
  <r>
    <n v="12"/>
    <x v="11"/>
    <s v="Bangalore"/>
    <x v="1"/>
    <x v="3"/>
    <n v="870"/>
    <n v="1067.04"/>
    <n v="928321"/>
    <n v="710"/>
  </r>
  <r>
    <n v="12"/>
    <x v="11"/>
    <s v="Bangalore"/>
    <x v="2"/>
    <x v="0"/>
    <n v="863"/>
    <n v="5135.01"/>
    <n v="4431510"/>
    <n v="811"/>
  </r>
  <r>
    <n v="12"/>
    <x v="11"/>
    <s v="Bangalore"/>
    <x v="2"/>
    <x v="1"/>
    <n v="130"/>
    <n v="21629.15"/>
    <n v="2811790"/>
    <n v="115"/>
  </r>
  <r>
    <n v="12"/>
    <x v="11"/>
    <s v="Bangalore"/>
    <x v="2"/>
    <x v="2"/>
    <n v="407"/>
    <n v="6233.2"/>
    <n v="2536912"/>
    <n v="368"/>
  </r>
  <r>
    <n v="12"/>
    <x v="11"/>
    <s v="Bangalore"/>
    <x v="2"/>
    <x v="3"/>
    <n v="411"/>
    <n v="1017.81"/>
    <n v="418320"/>
    <n v="323"/>
  </r>
  <r>
    <n v="12"/>
    <x v="11"/>
    <s v="Bangalore"/>
    <x v="3"/>
    <x v="0"/>
    <n v="1114"/>
    <n v="5081.54"/>
    <n v="5660833"/>
    <n v="1056"/>
  </r>
  <r>
    <n v="12"/>
    <x v="11"/>
    <s v="Bangalore"/>
    <x v="3"/>
    <x v="1"/>
    <n v="203"/>
    <n v="21246.87"/>
    <n v="4313115"/>
    <n v="181"/>
  </r>
  <r>
    <n v="12"/>
    <x v="11"/>
    <s v="Bangalore"/>
    <x v="3"/>
    <x v="2"/>
    <n v="320"/>
    <n v="6505.4"/>
    <n v="2081728"/>
    <n v="244"/>
  </r>
  <r>
    <n v="12"/>
    <x v="11"/>
    <s v="Bangalore"/>
    <x v="3"/>
    <x v="3"/>
    <n v="855"/>
    <n v="1227.3399999999999"/>
    <n v="1049374"/>
    <n v="759"/>
  </r>
  <r>
    <n v="12"/>
    <x v="11"/>
    <s v="Bangalore"/>
    <x v="4"/>
    <x v="0"/>
    <n v="760"/>
    <n v="5331.09"/>
    <n v="4051625"/>
    <n v="562"/>
  </r>
  <r>
    <n v="12"/>
    <x v="11"/>
    <s v="Bangalore"/>
    <x v="4"/>
    <x v="1"/>
    <n v="241"/>
    <n v="23472.59"/>
    <n v="5656894"/>
    <n v="175"/>
  </r>
  <r>
    <n v="12"/>
    <x v="11"/>
    <s v="Bangalore"/>
    <x v="4"/>
    <x v="2"/>
    <n v="350"/>
    <n v="6464.2"/>
    <n v="2262471"/>
    <n v="252"/>
  </r>
  <r>
    <n v="12"/>
    <x v="11"/>
    <s v="Bangalore"/>
    <x v="4"/>
    <x v="3"/>
    <n v="1160"/>
    <n v="1066.8800000000001"/>
    <n v="1237577"/>
    <n v="972"/>
  </r>
  <r>
    <n v="12"/>
    <x v="11"/>
    <s v="Bangalore"/>
    <x v="5"/>
    <x v="0"/>
    <n v="779"/>
    <n v="5338.67"/>
    <n v="4158821"/>
    <n v="715"/>
  </r>
  <r>
    <n v="12"/>
    <x v="11"/>
    <s v="Bangalore"/>
    <x v="5"/>
    <x v="1"/>
    <n v="105"/>
    <n v="21422.98"/>
    <n v="2249413"/>
    <n v="97"/>
  </r>
  <r>
    <n v="12"/>
    <x v="11"/>
    <s v="Bangalore"/>
    <x v="5"/>
    <x v="2"/>
    <n v="342"/>
    <n v="6724.55"/>
    <n v="2299796"/>
    <n v="271"/>
  </r>
  <r>
    <n v="12"/>
    <x v="11"/>
    <s v="Bangalore"/>
    <x v="5"/>
    <x v="3"/>
    <n v="615"/>
    <n v="1190.1099999999999"/>
    <n v="731918"/>
    <n v="512"/>
  </r>
  <r>
    <n v="12"/>
    <x v="11"/>
    <s v="Bangalore"/>
    <x v="6"/>
    <x v="0"/>
    <n v="1061"/>
    <n v="5413.69"/>
    <n v="5743923"/>
    <n v="823"/>
  </r>
  <r>
    <n v="12"/>
    <x v="11"/>
    <s v="Bangalore"/>
    <x v="6"/>
    <x v="1"/>
    <n v="172"/>
    <n v="21979.68"/>
    <n v="3780504"/>
    <n v="134"/>
  </r>
  <r>
    <n v="12"/>
    <x v="11"/>
    <s v="Bangalore"/>
    <x v="6"/>
    <x v="2"/>
    <n v="362"/>
    <n v="6860.95"/>
    <n v="2483665"/>
    <n v="284"/>
  </r>
  <r>
    <n v="12"/>
    <x v="11"/>
    <s v="Bangalore"/>
    <x v="6"/>
    <x v="3"/>
    <n v="1187"/>
    <n v="1110.1500000000001"/>
    <n v="1317752"/>
    <n v="1000"/>
  </r>
  <r>
    <n v="12"/>
    <x v="11"/>
    <s v="Bangalore"/>
    <x v="7"/>
    <x v="0"/>
    <n v="865"/>
    <n v="5254.97"/>
    <n v="4545550"/>
    <n v="791"/>
  </r>
  <r>
    <n v="12"/>
    <x v="11"/>
    <s v="Bangalore"/>
    <x v="7"/>
    <x v="1"/>
    <n v="194"/>
    <n v="21658.06"/>
    <n v="4201664"/>
    <n v="159"/>
  </r>
  <r>
    <n v="12"/>
    <x v="11"/>
    <s v="Bangalore"/>
    <x v="7"/>
    <x v="2"/>
    <n v="309"/>
    <n v="6786.08"/>
    <n v="2096897"/>
    <n v="280"/>
  </r>
  <r>
    <n v="12"/>
    <x v="11"/>
    <s v="Bangalore"/>
    <x v="7"/>
    <x v="3"/>
    <n v="1052"/>
    <n v="1188.44"/>
    <n v="1250237"/>
    <n v="833"/>
  </r>
  <r>
    <n v="12"/>
    <x v="11"/>
    <s v="Bangalore"/>
    <x v="8"/>
    <x v="0"/>
    <n v="991"/>
    <n v="5490.16"/>
    <n v="5440748"/>
    <n v="751"/>
  </r>
  <r>
    <n v="12"/>
    <x v="11"/>
    <s v="Bangalore"/>
    <x v="8"/>
    <x v="1"/>
    <n v="111"/>
    <n v="18789.259999999998"/>
    <n v="2085608"/>
    <n v="104"/>
  </r>
  <r>
    <n v="12"/>
    <x v="11"/>
    <s v="Bangalore"/>
    <x v="8"/>
    <x v="2"/>
    <n v="295"/>
    <n v="6897.26"/>
    <n v="2034690"/>
    <n v="271"/>
  </r>
  <r>
    <n v="12"/>
    <x v="11"/>
    <s v="Bangalore"/>
    <x v="8"/>
    <x v="3"/>
    <n v="846"/>
    <n v="1214.21"/>
    <n v="1027218"/>
    <n v="727"/>
  </r>
  <r>
    <n v="12"/>
    <x v="11"/>
    <s v="Bangalore"/>
    <x v="9"/>
    <x v="0"/>
    <n v="642"/>
    <n v="5606.15"/>
    <n v="3599148"/>
    <n v="473"/>
  </r>
  <r>
    <n v="12"/>
    <x v="11"/>
    <s v="Bangalore"/>
    <x v="9"/>
    <x v="1"/>
    <n v="104"/>
    <n v="22475.01"/>
    <n v="2337401"/>
    <n v="93"/>
  </r>
  <r>
    <n v="12"/>
    <x v="11"/>
    <s v="Bangalore"/>
    <x v="9"/>
    <x v="2"/>
    <n v="465"/>
    <n v="6676.28"/>
    <n v="3104469"/>
    <n v="413"/>
  </r>
  <r>
    <n v="12"/>
    <x v="11"/>
    <s v="Bangalore"/>
    <x v="9"/>
    <x v="3"/>
    <n v="455"/>
    <n v="1051.97"/>
    <n v="478647"/>
    <n v="352"/>
  </r>
  <r>
    <n v="12"/>
    <x v="11"/>
    <s v="Bangalore"/>
    <x v="10"/>
    <x v="0"/>
    <n v="682"/>
    <n v="5158.17"/>
    <n v="3517875"/>
    <n v="507"/>
  </r>
  <r>
    <n v="12"/>
    <x v="11"/>
    <s v="Bangalore"/>
    <x v="10"/>
    <x v="1"/>
    <n v="243"/>
    <n v="22183.57"/>
    <n v="5390607"/>
    <n v="173"/>
  </r>
  <r>
    <n v="12"/>
    <x v="11"/>
    <s v="Bangalore"/>
    <x v="10"/>
    <x v="2"/>
    <n v="459"/>
    <n v="6317.69"/>
    <n v="2899819"/>
    <n v="347"/>
  </r>
  <r>
    <n v="12"/>
    <x v="11"/>
    <s v="Bangalore"/>
    <x v="10"/>
    <x v="3"/>
    <n v="779"/>
    <n v="1262.6099999999999"/>
    <n v="983571"/>
    <n v="604"/>
  </r>
  <r>
    <n v="12"/>
    <x v="11"/>
    <s v="Bangalore"/>
    <x v="11"/>
    <x v="0"/>
    <n v="1019"/>
    <n v="4789.22"/>
    <n v="4880211"/>
    <n v="746"/>
  </r>
  <r>
    <n v="12"/>
    <x v="11"/>
    <s v="Bangalore"/>
    <x v="11"/>
    <x v="1"/>
    <n v="215"/>
    <n v="22247.46"/>
    <n v="4783203"/>
    <n v="172"/>
  </r>
  <r>
    <n v="12"/>
    <x v="11"/>
    <s v="Bangalore"/>
    <x v="11"/>
    <x v="2"/>
    <n v="455"/>
    <n v="6547.87"/>
    <n v="2979280"/>
    <n v="365"/>
  </r>
  <r>
    <n v="12"/>
    <x v="11"/>
    <s v="Bangalore"/>
    <x v="11"/>
    <x v="3"/>
    <n v="925"/>
    <n v="1082.9000000000001"/>
    <n v="1001679"/>
    <n v="688"/>
  </r>
  <r>
    <n v="13"/>
    <x v="12"/>
    <s v="Pune"/>
    <x v="0"/>
    <x v="0"/>
    <n v="1197"/>
    <n v="5253.47"/>
    <n v="6288398"/>
    <n v="1074"/>
  </r>
  <r>
    <n v="13"/>
    <x v="12"/>
    <s v="Pune"/>
    <x v="0"/>
    <x v="1"/>
    <n v="248"/>
    <n v="20662.82"/>
    <n v="5124379"/>
    <n v="220"/>
  </r>
  <r>
    <n v="13"/>
    <x v="12"/>
    <s v="Pune"/>
    <x v="0"/>
    <x v="2"/>
    <n v="264"/>
    <n v="6980.57"/>
    <n v="1842871"/>
    <n v="226"/>
  </r>
  <r>
    <n v="13"/>
    <x v="12"/>
    <s v="Pune"/>
    <x v="0"/>
    <x v="3"/>
    <n v="1092"/>
    <n v="1150.6199999999999"/>
    <n v="1256480"/>
    <n v="983"/>
  </r>
  <r>
    <n v="13"/>
    <x v="12"/>
    <s v="Pune"/>
    <x v="1"/>
    <x v="0"/>
    <n v="772"/>
    <n v="5275.53"/>
    <n v="4072710"/>
    <n v="591"/>
  </r>
  <r>
    <n v="13"/>
    <x v="12"/>
    <s v="Pune"/>
    <x v="1"/>
    <x v="1"/>
    <n v="238"/>
    <n v="21151.87"/>
    <n v="5034146"/>
    <n v="193"/>
  </r>
  <r>
    <n v="13"/>
    <x v="12"/>
    <s v="Pune"/>
    <x v="1"/>
    <x v="2"/>
    <n v="455"/>
    <n v="6691.81"/>
    <n v="3044773"/>
    <n v="335"/>
  </r>
  <r>
    <n v="13"/>
    <x v="12"/>
    <s v="Pune"/>
    <x v="1"/>
    <x v="3"/>
    <n v="963"/>
    <n v="1106.67"/>
    <n v="1065726"/>
    <n v="732"/>
  </r>
  <r>
    <n v="13"/>
    <x v="12"/>
    <s v="Pune"/>
    <x v="2"/>
    <x v="0"/>
    <n v="1193"/>
    <n v="4839.46"/>
    <n v="5773476"/>
    <n v="952"/>
  </r>
  <r>
    <n v="13"/>
    <x v="12"/>
    <s v="Pune"/>
    <x v="2"/>
    <x v="1"/>
    <n v="141"/>
    <n v="21144.04"/>
    <n v="2981310"/>
    <n v="126"/>
  </r>
  <r>
    <n v="13"/>
    <x v="12"/>
    <s v="Pune"/>
    <x v="2"/>
    <x v="2"/>
    <n v="312"/>
    <n v="7042.7"/>
    <n v="2197322"/>
    <n v="252"/>
  </r>
  <r>
    <n v="13"/>
    <x v="12"/>
    <s v="Pune"/>
    <x v="2"/>
    <x v="3"/>
    <n v="428"/>
    <n v="1087.92"/>
    <n v="465629"/>
    <n v="329"/>
  </r>
  <r>
    <n v="13"/>
    <x v="12"/>
    <s v="Pune"/>
    <x v="3"/>
    <x v="0"/>
    <n v="841"/>
    <n v="5731.46"/>
    <n v="4820159"/>
    <n v="727"/>
  </r>
  <r>
    <n v="13"/>
    <x v="12"/>
    <s v="Pune"/>
    <x v="3"/>
    <x v="1"/>
    <n v="178"/>
    <n v="21015.43"/>
    <n v="3740746"/>
    <n v="164"/>
  </r>
  <r>
    <n v="13"/>
    <x v="12"/>
    <s v="Pune"/>
    <x v="3"/>
    <x v="2"/>
    <n v="372"/>
    <n v="6837.99"/>
    <n v="2543733"/>
    <n v="308"/>
  </r>
  <r>
    <n v="13"/>
    <x v="12"/>
    <s v="Pune"/>
    <x v="3"/>
    <x v="3"/>
    <n v="500"/>
    <n v="1132.23"/>
    <n v="566114"/>
    <n v="355"/>
  </r>
  <r>
    <n v="13"/>
    <x v="12"/>
    <s v="Pune"/>
    <x v="4"/>
    <x v="0"/>
    <n v="799"/>
    <n v="5347.39"/>
    <n v="4272566"/>
    <n v="573"/>
  </r>
  <r>
    <n v="13"/>
    <x v="12"/>
    <s v="Pune"/>
    <x v="4"/>
    <x v="1"/>
    <n v="116"/>
    <n v="21136.14"/>
    <n v="2451793"/>
    <n v="108"/>
  </r>
  <r>
    <n v="13"/>
    <x v="12"/>
    <s v="Pune"/>
    <x v="4"/>
    <x v="2"/>
    <n v="476"/>
    <n v="6469.27"/>
    <n v="3079370"/>
    <n v="451"/>
  </r>
  <r>
    <n v="13"/>
    <x v="12"/>
    <s v="Pune"/>
    <x v="4"/>
    <x v="3"/>
    <n v="835"/>
    <n v="972.81"/>
    <n v="812298"/>
    <n v="746"/>
  </r>
  <r>
    <n v="13"/>
    <x v="12"/>
    <s v="Pune"/>
    <x v="5"/>
    <x v="0"/>
    <n v="990"/>
    <n v="5177.82"/>
    <n v="5126044"/>
    <n v="795"/>
  </r>
  <r>
    <n v="13"/>
    <x v="12"/>
    <s v="Pune"/>
    <x v="5"/>
    <x v="1"/>
    <n v="104"/>
    <n v="22455.63"/>
    <n v="2335385"/>
    <n v="89"/>
  </r>
  <r>
    <n v="13"/>
    <x v="12"/>
    <s v="Pune"/>
    <x v="5"/>
    <x v="2"/>
    <n v="207"/>
    <n v="6998.81"/>
    <n v="1448755"/>
    <n v="177"/>
  </r>
  <r>
    <n v="13"/>
    <x v="12"/>
    <s v="Pune"/>
    <x v="5"/>
    <x v="3"/>
    <n v="862"/>
    <n v="1124.32"/>
    <n v="969164"/>
    <n v="647"/>
  </r>
  <r>
    <n v="13"/>
    <x v="12"/>
    <s v="Pune"/>
    <x v="6"/>
    <x v="0"/>
    <n v="1160"/>
    <n v="5127.72"/>
    <n v="5948159"/>
    <n v="832"/>
  </r>
  <r>
    <n v="13"/>
    <x v="12"/>
    <s v="Pune"/>
    <x v="6"/>
    <x v="1"/>
    <n v="221"/>
    <n v="20795.63"/>
    <n v="4595834"/>
    <n v="181"/>
  </r>
  <r>
    <n v="13"/>
    <x v="12"/>
    <s v="Pune"/>
    <x v="6"/>
    <x v="2"/>
    <n v="454"/>
    <n v="7136.69"/>
    <n v="3240055"/>
    <n v="402"/>
  </r>
  <r>
    <n v="13"/>
    <x v="12"/>
    <s v="Pune"/>
    <x v="6"/>
    <x v="3"/>
    <n v="687"/>
    <n v="1379.93"/>
    <n v="948010"/>
    <n v="586"/>
  </r>
  <r>
    <n v="13"/>
    <x v="12"/>
    <s v="Pune"/>
    <x v="7"/>
    <x v="0"/>
    <n v="825"/>
    <n v="5227.01"/>
    <n v="4312283"/>
    <n v="768"/>
  </r>
  <r>
    <n v="13"/>
    <x v="12"/>
    <s v="Pune"/>
    <x v="7"/>
    <x v="1"/>
    <n v="158"/>
    <n v="20828.63"/>
    <n v="3290924"/>
    <n v="132"/>
  </r>
  <r>
    <n v="13"/>
    <x v="12"/>
    <s v="Pune"/>
    <x v="7"/>
    <x v="2"/>
    <n v="313"/>
    <n v="6633.62"/>
    <n v="2076324"/>
    <n v="288"/>
  </r>
  <r>
    <n v="13"/>
    <x v="12"/>
    <s v="Pune"/>
    <x v="7"/>
    <x v="3"/>
    <n v="521"/>
    <n v="1172.32"/>
    <n v="610778"/>
    <n v="470"/>
  </r>
  <r>
    <n v="13"/>
    <x v="12"/>
    <s v="Pune"/>
    <x v="8"/>
    <x v="0"/>
    <n v="638"/>
    <n v="5467.51"/>
    <n v="3488273"/>
    <n v="520"/>
  </r>
  <r>
    <n v="13"/>
    <x v="12"/>
    <s v="Pune"/>
    <x v="8"/>
    <x v="1"/>
    <n v="235"/>
    <n v="20849.080000000002"/>
    <n v="4899535"/>
    <n v="208"/>
  </r>
  <r>
    <n v="13"/>
    <x v="12"/>
    <s v="Pune"/>
    <x v="8"/>
    <x v="2"/>
    <n v="437"/>
    <n v="6898.86"/>
    <n v="3014804"/>
    <n v="325"/>
  </r>
  <r>
    <n v="13"/>
    <x v="12"/>
    <s v="Pune"/>
    <x v="8"/>
    <x v="3"/>
    <n v="997"/>
    <n v="1317.35"/>
    <n v="1313395"/>
    <n v="885"/>
  </r>
  <r>
    <n v="13"/>
    <x v="12"/>
    <s v="Pune"/>
    <x v="9"/>
    <x v="0"/>
    <n v="944"/>
    <n v="5281.13"/>
    <n v="4985383"/>
    <n v="832"/>
  </r>
  <r>
    <n v="13"/>
    <x v="12"/>
    <s v="Pune"/>
    <x v="9"/>
    <x v="1"/>
    <n v="126"/>
    <n v="21431.29"/>
    <n v="2700342"/>
    <n v="118"/>
  </r>
  <r>
    <n v="13"/>
    <x v="12"/>
    <s v="Pune"/>
    <x v="9"/>
    <x v="2"/>
    <n v="287"/>
    <n v="6407.88"/>
    <n v="1839060"/>
    <n v="255"/>
  </r>
  <r>
    <n v="13"/>
    <x v="12"/>
    <s v="Pune"/>
    <x v="9"/>
    <x v="3"/>
    <n v="752"/>
    <n v="1022.74"/>
    <n v="769100"/>
    <n v="621"/>
  </r>
  <r>
    <n v="13"/>
    <x v="12"/>
    <s v="Pune"/>
    <x v="10"/>
    <x v="0"/>
    <n v="618"/>
    <n v="5500.39"/>
    <n v="3399241"/>
    <n v="499"/>
  </r>
  <r>
    <n v="13"/>
    <x v="12"/>
    <s v="Pune"/>
    <x v="10"/>
    <x v="1"/>
    <n v="235"/>
    <n v="21664.02"/>
    <n v="5091045"/>
    <n v="191"/>
  </r>
  <r>
    <n v="13"/>
    <x v="12"/>
    <s v="Pune"/>
    <x v="10"/>
    <x v="2"/>
    <n v="343"/>
    <n v="6878.99"/>
    <n v="2359495"/>
    <n v="315"/>
  </r>
  <r>
    <n v="13"/>
    <x v="12"/>
    <s v="Pune"/>
    <x v="10"/>
    <x v="3"/>
    <n v="503"/>
    <n v="1276.95"/>
    <n v="642307"/>
    <n v="376"/>
  </r>
  <r>
    <n v="13"/>
    <x v="12"/>
    <s v="Pune"/>
    <x v="11"/>
    <x v="0"/>
    <n v="1090"/>
    <n v="5519.98"/>
    <n v="6016779"/>
    <n v="985"/>
  </r>
  <r>
    <n v="13"/>
    <x v="12"/>
    <s v="Pune"/>
    <x v="11"/>
    <x v="1"/>
    <n v="165"/>
    <n v="20813.52"/>
    <n v="3434230"/>
    <n v="130"/>
  </r>
  <r>
    <n v="13"/>
    <x v="12"/>
    <s v="Pune"/>
    <x v="11"/>
    <x v="2"/>
    <n v="212"/>
    <n v="7191.68"/>
    <n v="1524637"/>
    <n v="193"/>
  </r>
  <r>
    <n v="13"/>
    <x v="12"/>
    <s v="Pune"/>
    <x v="11"/>
    <x v="3"/>
    <n v="713"/>
    <n v="1462.51"/>
    <n v="1042769"/>
    <n v="505"/>
  </r>
  <r>
    <n v="14"/>
    <x v="13"/>
    <s v="Delhi"/>
    <x v="0"/>
    <x v="0"/>
    <n v="808"/>
    <n v="5454.77"/>
    <n v="4407451"/>
    <n v="718"/>
  </r>
  <r>
    <n v="14"/>
    <x v="13"/>
    <s v="Delhi"/>
    <x v="0"/>
    <x v="1"/>
    <n v="169"/>
    <n v="22397.74"/>
    <n v="3785218"/>
    <n v="155"/>
  </r>
  <r>
    <n v="14"/>
    <x v="13"/>
    <s v="Delhi"/>
    <x v="0"/>
    <x v="2"/>
    <n v="300"/>
    <n v="6613.72"/>
    <n v="1984117"/>
    <n v="258"/>
  </r>
  <r>
    <n v="14"/>
    <x v="13"/>
    <s v="Delhi"/>
    <x v="0"/>
    <x v="3"/>
    <n v="935"/>
    <n v="1105.8399999999999"/>
    <n v="1033961"/>
    <n v="705"/>
  </r>
  <r>
    <n v="14"/>
    <x v="13"/>
    <s v="Delhi"/>
    <x v="1"/>
    <x v="0"/>
    <n v="753"/>
    <n v="5016.33"/>
    <n v="3777294"/>
    <n v="658"/>
  </r>
  <r>
    <n v="14"/>
    <x v="13"/>
    <s v="Delhi"/>
    <x v="1"/>
    <x v="1"/>
    <n v="248"/>
    <n v="20091.349999999999"/>
    <n v="4982656"/>
    <n v="175"/>
  </r>
  <r>
    <n v="14"/>
    <x v="13"/>
    <s v="Delhi"/>
    <x v="1"/>
    <x v="2"/>
    <n v="459"/>
    <n v="6575.14"/>
    <n v="3017990"/>
    <n v="367"/>
  </r>
  <r>
    <n v="14"/>
    <x v="13"/>
    <s v="Delhi"/>
    <x v="1"/>
    <x v="3"/>
    <n v="982"/>
    <n v="1081.92"/>
    <n v="1062447"/>
    <n v="805"/>
  </r>
  <r>
    <n v="14"/>
    <x v="13"/>
    <s v="Delhi"/>
    <x v="2"/>
    <x v="0"/>
    <n v="1125"/>
    <n v="5192.46"/>
    <n v="5841520"/>
    <n v="850"/>
  </r>
  <r>
    <n v="14"/>
    <x v="13"/>
    <s v="Delhi"/>
    <x v="2"/>
    <x v="1"/>
    <n v="231"/>
    <n v="21742.76"/>
    <n v="5022577"/>
    <n v="164"/>
  </r>
  <r>
    <n v="14"/>
    <x v="13"/>
    <s v="Delhi"/>
    <x v="2"/>
    <x v="2"/>
    <n v="223"/>
    <n v="7007.22"/>
    <n v="1562610"/>
    <n v="171"/>
  </r>
  <r>
    <n v="14"/>
    <x v="13"/>
    <s v="Delhi"/>
    <x v="2"/>
    <x v="3"/>
    <n v="459"/>
    <n v="1259.25"/>
    <n v="577997"/>
    <n v="358"/>
  </r>
  <r>
    <n v="14"/>
    <x v="13"/>
    <s v="Delhi"/>
    <x v="3"/>
    <x v="0"/>
    <n v="918"/>
    <n v="5523.18"/>
    <n v="5070280"/>
    <n v="805"/>
  </r>
  <r>
    <n v="14"/>
    <x v="13"/>
    <s v="Delhi"/>
    <x v="3"/>
    <x v="1"/>
    <n v="199"/>
    <n v="20980.59"/>
    <n v="4175137"/>
    <n v="165"/>
  </r>
  <r>
    <n v="14"/>
    <x v="13"/>
    <s v="Delhi"/>
    <x v="3"/>
    <x v="2"/>
    <n v="372"/>
    <n v="6570.46"/>
    <n v="2444212"/>
    <n v="300"/>
  </r>
  <r>
    <n v="14"/>
    <x v="13"/>
    <s v="Delhi"/>
    <x v="3"/>
    <x v="3"/>
    <n v="545"/>
    <n v="1111.4000000000001"/>
    <n v="605711"/>
    <n v="432"/>
  </r>
  <r>
    <n v="14"/>
    <x v="13"/>
    <s v="Delhi"/>
    <x v="4"/>
    <x v="0"/>
    <n v="712"/>
    <n v="5602.69"/>
    <n v="3989115"/>
    <n v="676"/>
  </r>
  <r>
    <n v="14"/>
    <x v="13"/>
    <s v="Delhi"/>
    <x v="4"/>
    <x v="1"/>
    <n v="217"/>
    <n v="22004.65"/>
    <n v="4775009"/>
    <n v="186"/>
  </r>
  <r>
    <n v="14"/>
    <x v="13"/>
    <s v="Delhi"/>
    <x v="4"/>
    <x v="2"/>
    <n v="397"/>
    <n v="7066.31"/>
    <n v="2805325"/>
    <n v="289"/>
  </r>
  <r>
    <n v="14"/>
    <x v="13"/>
    <s v="Delhi"/>
    <x v="4"/>
    <x v="3"/>
    <n v="1109"/>
    <n v="1258.21"/>
    <n v="1395355"/>
    <n v="1051"/>
  </r>
  <r>
    <n v="14"/>
    <x v="13"/>
    <s v="Delhi"/>
    <x v="5"/>
    <x v="0"/>
    <n v="723"/>
    <n v="5539.73"/>
    <n v="4005224"/>
    <n v="612"/>
  </r>
  <r>
    <n v="14"/>
    <x v="13"/>
    <s v="Delhi"/>
    <x v="5"/>
    <x v="1"/>
    <n v="160"/>
    <n v="19950.11"/>
    <n v="3192018"/>
    <n v="151"/>
  </r>
  <r>
    <n v="14"/>
    <x v="13"/>
    <s v="Delhi"/>
    <x v="5"/>
    <x v="2"/>
    <n v="458"/>
    <n v="6541.67"/>
    <n v="2996083"/>
    <n v="379"/>
  </r>
  <r>
    <n v="14"/>
    <x v="13"/>
    <s v="Delhi"/>
    <x v="5"/>
    <x v="3"/>
    <n v="962"/>
    <n v="1277.1400000000001"/>
    <n v="1228612"/>
    <n v="899"/>
  </r>
  <r>
    <n v="14"/>
    <x v="13"/>
    <s v="Delhi"/>
    <x v="6"/>
    <x v="0"/>
    <n v="1025"/>
    <n v="5217.72"/>
    <n v="5348159"/>
    <n v="814"/>
  </r>
  <r>
    <n v="14"/>
    <x v="13"/>
    <s v="Delhi"/>
    <x v="6"/>
    <x v="1"/>
    <n v="163"/>
    <n v="21923"/>
    <n v="3573449"/>
    <n v="121"/>
  </r>
  <r>
    <n v="14"/>
    <x v="13"/>
    <s v="Delhi"/>
    <x v="6"/>
    <x v="2"/>
    <n v="248"/>
    <n v="6908.16"/>
    <n v="1713223"/>
    <n v="217"/>
  </r>
  <r>
    <n v="14"/>
    <x v="13"/>
    <s v="Delhi"/>
    <x v="6"/>
    <x v="3"/>
    <n v="1001"/>
    <n v="1189.72"/>
    <n v="1190906"/>
    <n v="720"/>
  </r>
  <r>
    <n v="14"/>
    <x v="13"/>
    <s v="Delhi"/>
    <x v="7"/>
    <x v="0"/>
    <n v="894"/>
    <n v="4725.74"/>
    <n v="4224815"/>
    <n v="788"/>
  </r>
  <r>
    <n v="14"/>
    <x v="13"/>
    <s v="Delhi"/>
    <x v="7"/>
    <x v="1"/>
    <n v="169"/>
    <n v="21371.279999999999"/>
    <n v="3611746"/>
    <n v="120"/>
  </r>
  <r>
    <n v="14"/>
    <x v="13"/>
    <s v="Delhi"/>
    <x v="7"/>
    <x v="2"/>
    <n v="373"/>
    <n v="6400.48"/>
    <n v="2387381"/>
    <n v="331"/>
  </r>
  <r>
    <n v="14"/>
    <x v="13"/>
    <s v="Delhi"/>
    <x v="7"/>
    <x v="3"/>
    <n v="1063"/>
    <n v="1230.18"/>
    <n v="1307680"/>
    <n v="869"/>
  </r>
  <r>
    <n v="14"/>
    <x v="13"/>
    <s v="Delhi"/>
    <x v="8"/>
    <x v="0"/>
    <n v="1007"/>
    <n v="5279.97"/>
    <n v="5316929"/>
    <n v="770"/>
  </r>
  <r>
    <n v="14"/>
    <x v="13"/>
    <s v="Delhi"/>
    <x v="8"/>
    <x v="1"/>
    <n v="113"/>
    <n v="21337.06"/>
    <n v="2411088"/>
    <n v="86"/>
  </r>
  <r>
    <n v="14"/>
    <x v="13"/>
    <s v="Delhi"/>
    <x v="8"/>
    <x v="2"/>
    <n v="381"/>
    <n v="7048.07"/>
    <n v="2685313"/>
    <n v="292"/>
  </r>
  <r>
    <n v="14"/>
    <x v="13"/>
    <s v="Delhi"/>
    <x v="8"/>
    <x v="3"/>
    <n v="627"/>
    <n v="1176.07"/>
    <n v="737396"/>
    <n v="444"/>
  </r>
  <r>
    <n v="14"/>
    <x v="13"/>
    <s v="Delhi"/>
    <x v="9"/>
    <x v="0"/>
    <n v="1195"/>
    <n v="5510.61"/>
    <n v="6585181"/>
    <n v="939"/>
  </r>
  <r>
    <n v="14"/>
    <x v="13"/>
    <s v="Delhi"/>
    <x v="9"/>
    <x v="1"/>
    <n v="106"/>
    <n v="23126.639999999999"/>
    <n v="2451424"/>
    <n v="76"/>
  </r>
  <r>
    <n v="14"/>
    <x v="13"/>
    <s v="Delhi"/>
    <x v="9"/>
    <x v="2"/>
    <n v="359"/>
    <n v="6774.12"/>
    <n v="2431910"/>
    <n v="301"/>
  </r>
  <r>
    <n v="14"/>
    <x v="13"/>
    <s v="Delhi"/>
    <x v="9"/>
    <x v="3"/>
    <n v="598"/>
    <n v="1208.73"/>
    <n v="722822"/>
    <n v="477"/>
  </r>
  <r>
    <n v="14"/>
    <x v="13"/>
    <s v="Delhi"/>
    <x v="10"/>
    <x v="0"/>
    <n v="1091"/>
    <n v="5408.49"/>
    <n v="5900666"/>
    <n v="898"/>
  </r>
  <r>
    <n v="14"/>
    <x v="13"/>
    <s v="Delhi"/>
    <x v="10"/>
    <x v="1"/>
    <n v="120"/>
    <n v="22503.49"/>
    <n v="2700418"/>
    <n v="91"/>
  </r>
  <r>
    <n v="14"/>
    <x v="13"/>
    <s v="Delhi"/>
    <x v="10"/>
    <x v="2"/>
    <n v="330"/>
    <n v="6448.68"/>
    <n v="2128063"/>
    <n v="258"/>
  </r>
  <r>
    <n v="14"/>
    <x v="13"/>
    <s v="Delhi"/>
    <x v="10"/>
    <x v="3"/>
    <n v="770"/>
    <n v="1261.08"/>
    <n v="971032"/>
    <n v="726"/>
  </r>
  <r>
    <n v="14"/>
    <x v="13"/>
    <s v="Delhi"/>
    <x v="11"/>
    <x v="0"/>
    <n v="983"/>
    <n v="5135.38"/>
    <n v="5048075"/>
    <n v="856"/>
  </r>
  <r>
    <n v="14"/>
    <x v="13"/>
    <s v="Delhi"/>
    <x v="11"/>
    <x v="1"/>
    <n v="132"/>
    <n v="21368.66"/>
    <n v="2820663"/>
    <n v="109"/>
  </r>
  <r>
    <n v="14"/>
    <x v="13"/>
    <s v="Delhi"/>
    <x v="11"/>
    <x v="2"/>
    <n v="260"/>
    <n v="6552.41"/>
    <n v="1703626"/>
    <n v="217"/>
  </r>
  <r>
    <n v="14"/>
    <x v="13"/>
    <s v="Delhi"/>
    <x v="11"/>
    <x v="3"/>
    <n v="822"/>
    <n v="1060.3399999999999"/>
    <n v="871597"/>
    <n v="720"/>
  </r>
  <r>
    <n v="15"/>
    <x v="14"/>
    <s v="Chennai"/>
    <x v="0"/>
    <x v="0"/>
    <n v="1128"/>
    <n v="5032.43"/>
    <n v="5676576"/>
    <n v="1028"/>
  </r>
  <r>
    <n v="15"/>
    <x v="14"/>
    <s v="Chennai"/>
    <x v="0"/>
    <x v="1"/>
    <n v="173"/>
    <n v="21941.25"/>
    <n v="3795836"/>
    <n v="128"/>
  </r>
  <r>
    <n v="15"/>
    <x v="14"/>
    <s v="Chennai"/>
    <x v="0"/>
    <x v="2"/>
    <n v="201"/>
    <n v="6362.71"/>
    <n v="1278905"/>
    <n v="145"/>
  </r>
  <r>
    <n v="15"/>
    <x v="14"/>
    <s v="Chennai"/>
    <x v="0"/>
    <x v="3"/>
    <n v="543"/>
    <n v="1265.02"/>
    <n v="686905"/>
    <n v="435"/>
  </r>
  <r>
    <n v="15"/>
    <x v="14"/>
    <s v="Chennai"/>
    <x v="1"/>
    <x v="0"/>
    <n v="685"/>
    <n v="5488.9"/>
    <n v="3759895"/>
    <n v="498"/>
  </r>
  <r>
    <n v="15"/>
    <x v="14"/>
    <s v="Chennai"/>
    <x v="1"/>
    <x v="1"/>
    <n v="158"/>
    <n v="20948.62"/>
    <n v="3309881"/>
    <n v="128"/>
  </r>
  <r>
    <n v="15"/>
    <x v="14"/>
    <s v="Chennai"/>
    <x v="1"/>
    <x v="2"/>
    <n v="391"/>
    <n v="6695.92"/>
    <n v="2618104"/>
    <n v="306"/>
  </r>
  <r>
    <n v="15"/>
    <x v="14"/>
    <s v="Chennai"/>
    <x v="1"/>
    <x v="3"/>
    <n v="676"/>
    <n v="1345.74"/>
    <n v="909717"/>
    <n v="501"/>
  </r>
  <r>
    <n v="15"/>
    <x v="14"/>
    <s v="Chennai"/>
    <x v="2"/>
    <x v="0"/>
    <n v="982"/>
    <n v="5459.09"/>
    <n v="5360824"/>
    <n v="691"/>
  </r>
  <r>
    <n v="15"/>
    <x v="14"/>
    <s v="Chennai"/>
    <x v="2"/>
    <x v="1"/>
    <n v="178"/>
    <n v="22147.16"/>
    <n v="3942195"/>
    <n v="163"/>
  </r>
  <r>
    <n v="15"/>
    <x v="14"/>
    <s v="Chennai"/>
    <x v="2"/>
    <x v="2"/>
    <n v="291"/>
    <n v="7174.78"/>
    <n v="2087860"/>
    <n v="244"/>
  </r>
  <r>
    <n v="15"/>
    <x v="14"/>
    <s v="Chennai"/>
    <x v="2"/>
    <x v="3"/>
    <n v="465"/>
    <n v="1237.99"/>
    <n v="575664"/>
    <n v="333"/>
  </r>
  <r>
    <n v="15"/>
    <x v="14"/>
    <s v="Chennai"/>
    <x v="3"/>
    <x v="0"/>
    <n v="853"/>
    <n v="5043.41"/>
    <n v="4302031"/>
    <n v="680"/>
  </r>
  <r>
    <n v="15"/>
    <x v="14"/>
    <s v="Chennai"/>
    <x v="3"/>
    <x v="1"/>
    <n v="105"/>
    <n v="20762.5"/>
    <n v="2180063"/>
    <n v="83"/>
  </r>
  <r>
    <n v="15"/>
    <x v="14"/>
    <s v="Chennai"/>
    <x v="3"/>
    <x v="2"/>
    <n v="478"/>
    <n v="6572.09"/>
    <n v="3141460"/>
    <n v="427"/>
  </r>
  <r>
    <n v="15"/>
    <x v="14"/>
    <s v="Chennai"/>
    <x v="3"/>
    <x v="3"/>
    <n v="706"/>
    <n v="1314.84"/>
    <n v="928280"/>
    <n v="528"/>
  </r>
  <r>
    <n v="15"/>
    <x v="14"/>
    <s v="Chennai"/>
    <x v="4"/>
    <x v="0"/>
    <n v="867"/>
    <n v="4933.8500000000004"/>
    <n v="4277645"/>
    <n v="778"/>
  </r>
  <r>
    <n v="15"/>
    <x v="14"/>
    <s v="Chennai"/>
    <x v="4"/>
    <x v="1"/>
    <n v="184"/>
    <n v="21660.52"/>
    <n v="3985536"/>
    <n v="143"/>
  </r>
  <r>
    <n v="15"/>
    <x v="14"/>
    <s v="Chennai"/>
    <x v="4"/>
    <x v="2"/>
    <n v="246"/>
    <n v="5872.12"/>
    <n v="1444542"/>
    <n v="206"/>
  </r>
  <r>
    <n v="15"/>
    <x v="14"/>
    <s v="Chennai"/>
    <x v="4"/>
    <x v="3"/>
    <n v="785"/>
    <n v="1306.3399999999999"/>
    <n v="1025475"/>
    <n v="611"/>
  </r>
  <r>
    <n v="15"/>
    <x v="14"/>
    <s v="Chennai"/>
    <x v="5"/>
    <x v="0"/>
    <n v="986"/>
    <n v="5457.78"/>
    <n v="5381371"/>
    <n v="731"/>
  </r>
  <r>
    <n v="15"/>
    <x v="14"/>
    <s v="Chennai"/>
    <x v="5"/>
    <x v="1"/>
    <n v="228"/>
    <n v="21282.47"/>
    <n v="4852403"/>
    <n v="161"/>
  </r>
  <r>
    <n v="15"/>
    <x v="14"/>
    <s v="Chennai"/>
    <x v="5"/>
    <x v="2"/>
    <n v="207"/>
    <n v="6789.39"/>
    <n v="1405405"/>
    <n v="152"/>
  </r>
  <r>
    <n v="15"/>
    <x v="14"/>
    <s v="Chennai"/>
    <x v="5"/>
    <x v="3"/>
    <n v="659"/>
    <n v="1276.0899999999999"/>
    <n v="840944"/>
    <n v="592"/>
  </r>
  <r>
    <n v="15"/>
    <x v="14"/>
    <s v="Chennai"/>
    <x v="6"/>
    <x v="0"/>
    <n v="965"/>
    <n v="5304.84"/>
    <n v="5119174"/>
    <n v="908"/>
  </r>
  <r>
    <n v="15"/>
    <x v="14"/>
    <s v="Chennai"/>
    <x v="6"/>
    <x v="1"/>
    <n v="162"/>
    <n v="22629.78"/>
    <n v="3666024"/>
    <n v="133"/>
  </r>
  <r>
    <n v="15"/>
    <x v="14"/>
    <s v="Chennai"/>
    <x v="6"/>
    <x v="2"/>
    <n v="220"/>
    <n v="6423.25"/>
    <n v="1413114"/>
    <n v="208"/>
  </r>
  <r>
    <n v="15"/>
    <x v="14"/>
    <s v="Chennai"/>
    <x v="6"/>
    <x v="3"/>
    <n v="905"/>
    <n v="1317.37"/>
    <n v="1192222"/>
    <n v="730"/>
  </r>
  <r>
    <n v="15"/>
    <x v="14"/>
    <s v="Chennai"/>
    <x v="7"/>
    <x v="0"/>
    <n v="846"/>
    <n v="5377.98"/>
    <n v="4549769"/>
    <n v="611"/>
  </r>
  <r>
    <n v="15"/>
    <x v="14"/>
    <s v="Chennai"/>
    <x v="7"/>
    <x v="1"/>
    <n v="124"/>
    <n v="20882.099999999999"/>
    <n v="2589381"/>
    <n v="112"/>
  </r>
  <r>
    <n v="15"/>
    <x v="14"/>
    <s v="Chennai"/>
    <x v="7"/>
    <x v="2"/>
    <n v="353"/>
    <n v="6758.32"/>
    <n v="2385685"/>
    <n v="263"/>
  </r>
  <r>
    <n v="15"/>
    <x v="14"/>
    <s v="Chennai"/>
    <x v="7"/>
    <x v="3"/>
    <n v="876"/>
    <n v="1164.68"/>
    <n v="1020263"/>
    <n v="678"/>
  </r>
  <r>
    <n v="15"/>
    <x v="14"/>
    <s v="Chennai"/>
    <x v="8"/>
    <x v="0"/>
    <n v="1085"/>
    <n v="5661.58"/>
    <n v="6142809"/>
    <n v="844"/>
  </r>
  <r>
    <n v="15"/>
    <x v="14"/>
    <s v="Chennai"/>
    <x v="8"/>
    <x v="1"/>
    <n v="238"/>
    <n v="21780.63"/>
    <n v="5183789"/>
    <n v="220"/>
  </r>
  <r>
    <n v="15"/>
    <x v="14"/>
    <s v="Chennai"/>
    <x v="8"/>
    <x v="2"/>
    <n v="412"/>
    <n v="6921.03"/>
    <n v="2851463"/>
    <n v="379"/>
  </r>
  <r>
    <n v="15"/>
    <x v="14"/>
    <s v="Chennai"/>
    <x v="8"/>
    <x v="3"/>
    <n v="1197"/>
    <n v="1143.3"/>
    <n v="1368535"/>
    <n v="889"/>
  </r>
  <r>
    <n v="15"/>
    <x v="14"/>
    <s v="Chennai"/>
    <x v="9"/>
    <x v="0"/>
    <n v="876"/>
    <n v="5180.33"/>
    <n v="4537966"/>
    <n v="811"/>
  </r>
  <r>
    <n v="15"/>
    <x v="14"/>
    <s v="Chennai"/>
    <x v="9"/>
    <x v="1"/>
    <n v="150"/>
    <n v="22812.84"/>
    <n v="3421926"/>
    <n v="121"/>
  </r>
  <r>
    <n v="15"/>
    <x v="14"/>
    <s v="Chennai"/>
    <x v="9"/>
    <x v="2"/>
    <n v="274"/>
    <n v="7065.15"/>
    <n v="1935850"/>
    <n v="215"/>
  </r>
  <r>
    <n v="15"/>
    <x v="14"/>
    <s v="Chennai"/>
    <x v="9"/>
    <x v="3"/>
    <n v="1019"/>
    <n v="1352.13"/>
    <n v="1377822"/>
    <n v="833"/>
  </r>
  <r>
    <n v="15"/>
    <x v="14"/>
    <s v="Chennai"/>
    <x v="10"/>
    <x v="0"/>
    <n v="888"/>
    <n v="5374.49"/>
    <n v="4772544"/>
    <n v="693"/>
  </r>
  <r>
    <n v="15"/>
    <x v="14"/>
    <s v="Chennai"/>
    <x v="10"/>
    <x v="1"/>
    <n v="146"/>
    <n v="20867.95"/>
    <n v="3046720"/>
    <n v="108"/>
  </r>
  <r>
    <n v="15"/>
    <x v="14"/>
    <s v="Chennai"/>
    <x v="10"/>
    <x v="2"/>
    <n v="400"/>
    <n v="6960.35"/>
    <n v="2784142"/>
    <n v="301"/>
  </r>
  <r>
    <n v="15"/>
    <x v="14"/>
    <s v="Chennai"/>
    <x v="10"/>
    <x v="3"/>
    <n v="542"/>
    <n v="1162.19"/>
    <n v="629908"/>
    <n v="408"/>
  </r>
  <r>
    <n v="15"/>
    <x v="14"/>
    <s v="Chennai"/>
    <x v="11"/>
    <x v="0"/>
    <n v="826"/>
    <n v="5199.37"/>
    <n v="4294680"/>
    <n v="734"/>
  </r>
  <r>
    <n v="15"/>
    <x v="14"/>
    <s v="Chennai"/>
    <x v="11"/>
    <x v="1"/>
    <n v="244"/>
    <n v="22655.200000000001"/>
    <n v="5527868"/>
    <n v="217"/>
  </r>
  <r>
    <n v="15"/>
    <x v="14"/>
    <s v="Chennai"/>
    <x v="11"/>
    <x v="2"/>
    <n v="451"/>
    <n v="6336.37"/>
    <n v="2857704"/>
    <n v="417"/>
  </r>
  <r>
    <n v="15"/>
    <x v="14"/>
    <s v="Chennai"/>
    <x v="11"/>
    <x v="3"/>
    <n v="650"/>
    <n v="1283.42"/>
    <n v="834225"/>
    <n v="455"/>
  </r>
  <r>
    <m/>
    <x v="15"/>
    <m/>
    <x v="12"/>
    <x v="4"/>
    <m/>
    <m/>
    <m/>
    <m/>
  </r>
  <r>
    <m/>
    <x v="15"/>
    <m/>
    <x v="12"/>
    <x v="4"/>
    <m/>
    <m/>
    <m/>
    <m/>
  </r>
  <r>
    <m/>
    <x v="15"/>
    <m/>
    <x v="12"/>
    <x v="4"/>
    <m/>
    <m/>
    <m/>
    <m/>
  </r>
  <r>
    <m/>
    <x v="15"/>
    <m/>
    <x v="12"/>
    <x v="4"/>
    <m/>
    <m/>
    <m/>
    <m/>
  </r>
  <r>
    <m/>
    <x v="15"/>
    <m/>
    <x v="12"/>
    <x v="4"/>
    <m/>
    <m/>
    <m/>
    <m/>
  </r>
  <r>
    <m/>
    <x v="15"/>
    <m/>
    <x v="12"/>
    <x v="4"/>
    <m/>
    <m/>
    <m/>
    <m/>
  </r>
  <r>
    <m/>
    <x v="15"/>
    <m/>
    <x v="12"/>
    <x v="4"/>
    <m/>
    <m/>
    <m/>
    <m/>
  </r>
  <r>
    <m/>
    <x v="15"/>
    <m/>
    <x v="12"/>
    <x v="4"/>
    <m/>
    <m/>
    <m/>
    <m/>
  </r>
  <r>
    <m/>
    <x v="15"/>
    <m/>
    <x v="12"/>
    <x v="4"/>
    <m/>
    <m/>
    <m/>
    <m/>
  </r>
  <r>
    <m/>
    <x v="15"/>
    <m/>
    <x v="12"/>
    <x v="4"/>
    <m/>
    <m/>
    <m/>
    <m/>
  </r>
  <r>
    <m/>
    <x v="15"/>
    <m/>
    <x v="12"/>
    <x v="4"/>
    <m/>
    <m/>
    <m/>
    <m/>
  </r>
  <r>
    <m/>
    <x v="15"/>
    <m/>
    <x v="12"/>
    <x v="4"/>
    <m/>
    <m/>
    <m/>
    <m/>
  </r>
  <r>
    <m/>
    <x v="15"/>
    <m/>
    <x v="12"/>
    <x v="4"/>
    <m/>
    <m/>
    <m/>
    <m/>
  </r>
  <r>
    <m/>
    <x v="15"/>
    <m/>
    <x v="12"/>
    <x v="4"/>
    <m/>
    <m/>
    <m/>
    <m/>
  </r>
  <r>
    <m/>
    <x v="15"/>
    <m/>
    <x v="12"/>
    <x v="4"/>
    <m/>
    <m/>
    <m/>
    <m/>
  </r>
  <r>
    <m/>
    <x v="15"/>
    <m/>
    <x v="12"/>
    <x v="4"/>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F85970-926D-4E1A-852A-97B6B3C2E94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21" firstHeaderRow="1" firstDataRow="2" firstDataCol="1"/>
  <pivotFields count="9">
    <pivotField showAll="0"/>
    <pivotField axis="axisRow" showAll="0">
      <items count="17">
        <item x="0"/>
        <item x="9"/>
        <item x="10"/>
        <item x="11"/>
        <item x="12"/>
        <item x="13"/>
        <item x="14"/>
        <item x="1"/>
        <item x="2"/>
        <item x="3"/>
        <item x="4"/>
        <item x="5"/>
        <item x="6"/>
        <item x="7"/>
        <item x="8"/>
        <item x="15"/>
        <item t="default"/>
      </items>
    </pivotField>
    <pivotField showAll="0"/>
    <pivotField showAll="0"/>
    <pivotField axis="axisCol" showAll="0">
      <items count="6">
        <item x="3"/>
        <item x="1"/>
        <item x="0"/>
        <item x="2"/>
        <item x="4"/>
        <item t="default"/>
      </items>
    </pivotField>
    <pivotField showAll="0"/>
    <pivotField showAll="0"/>
    <pivotField dataField="1" showAll="0"/>
    <pivotField showAll="0"/>
  </pivotFields>
  <rowFields count="1">
    <field x="1"/>
  </rowFields>
  <rowItems count="17">
    <i>
      <x/>
    </i>
    <i>
      <x v="1"/>
    </i>
    <i>
      <x v="2"/>
    </i>
    <i>
      <x v="3"/>
    </i>
    <i>
      <x v="4"/>
    </i>
    <i>
      <x v="5"/>
    </i>
    <i>
      <x v="6"/>
    </i>
    <i>
      <x v="7"/>
    </i>
    <i>
      <x v="8"/>
    </i>
    <i>
      <x v="9"/>
    </i>
    <i>
      <x v="10"/>
    </i>
    <i>
      <x v="11"/>
    </i>
    <i>
      <x v="12"/>
    </i>
    <i>
      <x v="13"/>
    </i>
    <i>
      <x v="14"/>
    </i>
    <i>
      <x v="15"/>
    </i>
    <i t="grand">
      <x/>
    </i>
  </rowItems>
  <colFields count="1">
    <field x="4"/>
  </colFields>
  <colItems count="6">
    <i>
      <x/>
    </i>
    <i>
      <x v="1"/>
    </i>
    <i>
      <x v="2"/>
    </i>
    <i>
      <x v="3"/>
    </i>
    <i>
      <x v="4"/>
    </i>
    <i t="grand">
      <x/>
    </i>
  </colItems>
  <dataFields count="1">
    <dataField name="Average of Total_Sales_Rs" fld="7"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714BAF-9DC1-487C-849D-5CE9FC6FE28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7" firstHeaderRow="1" firstDataRow="1" firstDataCol="1"/>
  <pivotFields count="9">
    <pivotField showAll="0"/>
    <pivotField showAll="0"/>
    <pivotField showAll="0"/>
    <pivotField axis="axisRow" showAll="0">
      <items count="14">
        <item x="0"/>
        <item x="1"/>
        <item x="2"/>
        <item x="3"/>
        <item x="4"/>
        <item x="5"/>
        <item x="6"/>
        <item x="7"/>
        <item x="8"/>
        <item x="9"/>
        <item x="10"/>
        <item x="11"/>
        <item x="12"/>
        <item t="default"/>
      </items>
    </pivotField>
    <pivotField showAll="0"/>
    <pivotField showAll="0"/>
    <pivotField showAll="0"/>
    <pivotField dataField="1" showAll="0"/>
    <pivotField showAll="0"/>
  </pivotFields>
  <rowFields count="1">
    <field x="3"/>
  </rowFields>
  <rowItems count="14">
    <i>
      <x/>
    </i>
    <i>
      <x v="1"/>
    </i>
    <i>
      <x v="2"/>
    </i>
    <i>
      <x v="3"/>
    </i>
    <i>
      <x v="4"/>
    </i>
    <i>
      <x v="5"/>
    </i>
    <i>
      <x v="6"/>
    </i>
    <i>
      <x v="7"/>
    </i>
    <i>
      <x v="8"/>
    </i>
    <i>
      <x v="9"/>
    </i>
    <i>
      <x v="10"/>
    </i>
    <i>
      <x v="11"/>
    </i>
    <i>
      <x v="12"/>
    </i>
    <i t="grand">
      <x/>
    </i>
  </rowItems>
  <colItems count="1">
    <i/>
  </colItems>
  <dataFields count="1">
    <dataField name="Sum of Total_Sales_R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0"/>
  <sheetViews>
    <sheetView tabSelected="1" workbookViewId="0">
      <selection activeCell="K17" sqref="K17"/>
    </sheetView>
  </sheetViews>
  <sheetFormatPr defaultColWidth="14.44140625" defaultRowHeight="15" customHeight="1"/>
  <cols>
    <col min="1" max="1" width="9.109375" customWidth="1"/>
    <col min="2" max="2" width="13.6640625" customWidth="1"/>
    <col min="3" max="3" width="10.44140625" customWidth="1"/>
    <col min="4" max="4" width="11.77734375" customWidth="1"/>
    <col min="5" max="5" width="20" customWidth="1"/>
    <col min="6" max="6" width="16.21875" customWidth="1"/>
    <col min="7" max="7" width="15.33203125" customWidth="1"/>
    <col min="8" max="8" width="17" customWidth="1"/>
    <col min="9" max="9" width="18.44140625" customWidth="1"/>
    <col min="10" max="10" width="8.6640625" customWidth="1"/>
    <col min="11" max="11" width="25.44140625" customWidth="1"/>
    <col min="12" max="12" width="12.88671875" customWidth="1"/>
    <col min="13" max="26" width="8.6640625" customWidth="1"/>
  </cols>
  <sheetData>
    <row r="1" spans="1:12" ht="14.4">
      <c r="A1" s="1" t="s">
        <v>0</v>
      </c>
      <c r="B1" s="1" t="s">
        <v>1</v>
      </c>
      <c r="C1" s="1" t="s">
        <v>2</v>
      </c>
      <c r="D1" s="1" t="s">
        <v>3</v>
      </c>
      <c r="E1" s="1" t="s">
        <v>4</v>
      </c>
      <c r="F1" s="1" t="s">
        <v>5</v>
      </c>
      <c r="G1" s="1" t="s">
        <v>6</v>
      </c>
      <c r="H1" s="1" t="s">
        <v>7</v>
      </c>
      <c r="I1" s="1" t="s">
        <v>8</v>
      </c>
    </row>
    <row r="2" spans="1:12" ht="14.4">
      <c r="A2" s="2">
        <v>1</v>
      </c>
      <c r="B2" s="2" t="s">
        <v>9</v>
      </c>
      <c r="C2" s="2" t="s">
        <v>10</v>
      </c>
      <c r="D2" s="2" t="s">
        <v>11</v>
      </c>
      <c r="E2" s="2" t="s">
        <v>12</v>
      </c>
      <c r="F2" s="2">
        <v>1013</v>
      </c>
      <c r="G2" s="2">
        <v>5183.82</v>
      </c>
      <c r="H2" s="2">
        <v>5251214</v>
      </c>
      <c r="I2" s="2">
        <v>755</v>
      </c>
      <c r="K2" s="12" t="s">
        <v>50</v>
      </c>
      <c r="L2" s="13">
        <f>AVERAGE(H2:H721)</f>
        <v>2945283.9</v>
      </c>
    </row>
    <row r="3" spans="1:12" ht="14.4">
      <c r="A3" s="2">
        <v>1</v>
      </c>
      <c r="B3" s="2" t="s">
        <v>9</v>
      </c>
      <c r="C3" s="2" t="s">
        <v>10</v>
      </c>
      <c r="D3" s="2" t="s">
        <v>11</v>
      </c>
      <c r="E3" s="2" t="s">
        <v>13</v>
      </c>
      <c r="F3" s="2">
        <v>157</v>
      </c>
      <c r="G3" s="2">
        <v>21079.86</v>
      </c>
      <c r="H3" s="2">
        <v>3309539</v>
      </c>
      <c r="I3" s="2">
        <v>130</v>
      </c>
      <c r="K3" s="12" t="s">
        <v>51</v>
      </c>
      <c r="L3" s="13">
        <f>MEDIAN(H2:H721)</f>
        <v>2863307</v>
      </c>
    </row>
    <row r="4" spans="1:12" ht="14.4">
      <c r="A4" s="2">
        <v>1</v>
      </c>
      <c r="B4" s="2" t="s">
        <v>9</v>
      </c>
      <c r="C4" s="2" t="s">
        <v>10</v>
      </c>
      <c r="D4" s="2" t="s">
        <v>11</v>
      </c>
      <c r="E4" s="2" t="s">
        <v>14</v>
      </c>
      <c r="F4" s="2">
        <v>435</v>
      </c>
      <c r="G4" s="2">
        <v>6706.67</v>
      </c>
      <c r="H4" s="2">
        <v>2917400</v>
      </c>
      <c r="I4" s="2">
        <v>347</v>
      </c>
      <c r="K4" s="12" t="s">
        <v>55</v>
      </c>
      <c r="L4" s="13" t="e">
        <f>_xlfn.MODE.SNGL(H2:H721)</f>
        <v>#N/A</v>
      </c>
    </row>
    <row r="5" spans="1:12" ht="14.4">
      <c r="A5" s="2">
        <v>1</v>
      </c>
      <c r="B5" s="2" t="s">
        <v>9</v>
      </c>
      <c r="C5" s="2" t="s">
        <v>10</v>
      </c>
      <c r="D5" s="2" t="s">
        <v>11</v>
      </c>
      <c r="E5" s="2" t="s">
        <v>15</v>
      </c>
      <c r="F5" s="2">
        <v>875</v>
      </c>
      <c r="G5" s="2">
        <v>1157.22</v>
      </c>
      <c r="H5" s="2">
        <v>1012568</v>
      </c>
      <c r="I5" s="2">
        <v>825</v>
      </c>
      <c r="K5" s="12" t="s">
        <v>56</v>
      </c>
      <c r="L5" s="13">
        <f>_xlfn.VAR.S(H2:H721)</f>
        <v>2665368895036.4634</v>
      </c>
    </row>
    <row r="6" spans="1:12" ht="14.4">
      <c r="A6" s="2">
        <v>1</v>
      </c>
      <c r="B6" s="2" t="s">
        <v>9</v>
      </c>
      <c r="C6" s="2" t="s">
        <v>10</v>
      </c>
      <c r="D6" s="2" t="s">
        <v>16</v>
      </c>
      <c r="E6" s="2" t="s">
        <v>12</v>
      </c>
      <c r="F6" s="2">
        <v>789</v>
      </c>
      <c r="G6" s="2">
        <v>5344.42</v>
      </c>
      <c r="H6" s="2">
        <v>4216744</v>
      </c>
      <c r="I6" s="2">
        <v>627</v>
      </c>
      <c r="K6" s="12" t="s">
        <v>57</v>
      </c>
      <c r="L6" s="13">
        <f>_xlfn.STDEV.S(H2:H721)</f>
        <v>1632595.7537113905</v>
      </c>
    </row>
    <row r="7" spans="1:12" ht="14.4">
      <c r="A7" s="2">
        <v>1</v>
      </c>
      <c r="B7" s="2" t="s">
        <v>9</v>
      </c>
      <c r="C7" s="2" t="s">
        <v>10</v>
      </c>
      <c r="D7" s="2" t="s">
        <v>16</v>
      </c>
      <c r="E7" s="2" t="s">
        <v>13</v>
      </c>
      <c r="F7" s="2">
        <v>163</v>
      </c>
      <c r="G7" s="2">
        <v>20885.62</v>
      </c>
      <c r="H7" s="2">
        <v>3404356</v>
      </c>
      <c r="I7" s="2">
        <v>133</v>
      </c>
      <c r="K7" s="12" t="s">
        <v>67</v>
      </c>
      <c r="L7" s="13">
        <f>MAX(H2:H721)</f>
        <v>6585181</v>
      </c>
    </row>
    <row r="8" spans="1:12" ht="14.4">
      <c r="A8" s="2">
        <v>1</v>
      </c>
      <c r="B8" s="2" t="s">
        <v>9</v>
      </c>
      <c r="C8" s="2" t="s">
        <v>10</v>
      </c>
      <c r="D8" s="2" t="s">
        <v>16</v>
      </c>
      <c r="E8" s="2" t="s">
        <v>14</v>
      </c>
      <c r="F8" s="2">
        <v>334</v>
      </c>
      <c r="G8" s="2">
        <v>6519.92</v>
      </c>
      <c r="H8" s="2">
        <v>2177655</v>
      </c>
      <c r="I8" s="2">
        <v>241</v>
      </c>
      <c r="K8" s="12" t="s">
        <v>68</v>
      </c>
      <c r="L8" s="13">
        <f>MIN(H2:H721)</f>
        <v>405864</v>
      </c>
    </row>
    <row r="9" spans="1:12" ht="14.4">
      <c r="A9" s="2">
        <v>1</v>
      </c>
      <c r="B9" s="2" t="s">
        <v>9</v>
      </c>
      <c r="C9" s="2" t="s">
        <v>10</v>
      </c>
      <c r="D9" s="2" t="s">
        <v>16</v>
      </c>
      <c r="E9" s="2" t="s">
        <v>15</v>
      </c>
      <c r="F9" s="2">
        <v>739</v>
      </c>
      <c r="G9" s="2">
        <v>1294.74</v>
      </c>
      <c r="H9" s="2">
        <v>956816</v>
      </c>
      <c r="I9" s="2">
        <v>561</v>
      </c>
      <c r="K9" s="12" t="s">
        <v>69</v>
      </c>
      <c r="L9" s="13">
        <f>_xlfn.STDEV.S(H2:H721)</f>
        <v>1632595.7537113905</v>
      </c>
    </row>
    <row r="10" spans="1:12" ht="14.4">
      <c r="A10" s="2">
        <v>1</v>
      </c>
      <c r="B10" s="2" t="s">
        <v>9</v>
      </c>
      <c r="C10" s="2" t="s">
        <v>10</v>
      </c>
      <c r="D10" s="2" t="s">
        <v>17</v>
      </c>
      <c r="E10" s="2" t="s">
        <v>12</v>
      </c>
      <c r="F10" s="2">
        <v>1054</v>
      </c>
      <c r="G10" s="2">
        <v>5526.05</v>
      </c>
      <c r="H10" s="2">
        <v>5824452</v>
      </c>
      <c r="I10" s="2">
        <v>783</v>
      </c>
      <c r="K10" s="12" t="s">
        <v>70</v>
      </c>
      <c r="L10" s="14">
        <f>(L7-L2)/L9</f>
        <v>2.2295152316336719</v>
      </c>
    </row>
    <row r="11" spans="1:12" ht="14.4">
      <c r="A11" s="2">
        <v>1</v>
      </c>
      <c r="B11" s="2" t="s">
        <v>9</v>
      </c>
      <c r="C11" s="2" t="s">
        <v>10</v>
      </c>
      <c r="D11" s="2" t="s">
        <v>17</v>
      </c>
      <c r="E11" s="2" t="s">
        <v>13</v>
      </c>
      <c r="F11" s="2">
        <v>180</v>
      </c>
      <c r="G11" s="2">
        <v>21798.5</v>
      </c>
      <c r="H11" s="2">
        <v>3923729</v>
      </c>
      <c r="I11" s="2">
        <v>137</v>
      </c>
      <c r="K11" s="12" t="s">
        <v>71</v>
      </c>
      <c r="L11" s="13">
        <f>(L8-L2)/L9</f>
        <v>-1.5554492863448408</v>
      </c>
    </row>
    <row r="12" spans="1:12" ht="14.4">
      <c r="A12" s="2">
        <v>1</v>
      </c>
      <c r="B12" s="2" t="s">
        <v>9</v>
      </c>
      <c r="C12" s="2" t="s">
        <v>10</v>
      </c>
      <c r="D12" s="2" t="s">
        <v>17</v>
      </c>
      <c r="E12" s="2" t="s">
        <v>14</v>
      </c>
      <c r="F12" s="2">
        <v>201</v>
      </c>
      <c r="G12" s="2">
        <v>6286.62</v>
      </c>
      <c r="H12" s="2">
        <v>1263610</v>
      </c>
      <c r="I12" s="2">
        <v>169</v>
      </c>
      <c r="K12" s="12" t="s">
        <v>72</v>
      </c>
      <c r="L12" s="13">
        <f>1-_xlfn.NORM.DIST(5000000,L2,L6,TRUE)</f>
        <v>0.10409505104002004</v>
      </c>
    </row>
    <row r="13" spans="1:12" ht="14.4">
      <c r="A13" s="2">
        <v>1</v>
      </c>
      <c r="B13" s="2" t="s">
        <v>9</v>
      </c>
      <c r="C13" s="2" t="s">
        <v>10</v>
      </c>
      <c r="D13" s="2" t="s">
        <v>17</v>
      </c>
      <c r="E13" s="2" t="s">
        <v>15</v>
      </c>
      <c r="F13" s="2">
        <v>876</v>
      </c>
      <c r="G13" s="2">
        <v>1164.69</v>
      </c>
      <c r="H13" s="2">
        <v>1020267</v>
      </c>
      <c r="I13" s="2">
        <v>825</v>
      </c>
    </row>
    <row r="14" spans="1:12" ht="14.4">
      <c r="A14" s="2">
        <v>1</v>
      </c>
      <c r="B14" s="2" t="s">
        <v>9</v>
      </c>
      <c r="C14" s="2" t="s">
        <v>10</v>
      </c>
      <c r="D14" s="2" t="s">
        <v>18</v>
      </c>
      <c r="E14" s="2" t="s">
        <v>12</v>
      </c>
      <c r="F14" s="2">
        <v>1155</v>
      </c>
      <c r="G14" s="2">
        <v>5447.69</v>
      </c>
      <c r="H14" s="2">
        <v>6292086</v>
      </c>
      <c r="I14" s="2">
        <v>834</v>
      </c>
    </row>
    <row r="15" spans="1:12" ht="14.4">
      <c r="A15" s="2">
        <v>1</v>
      </c>
      <c r="B15" s="2" t="s">
        <v>9</v>
      </c>
      <c r="C15" s="2" t="s">
        <v>10</v>
      </c>
      <c r="D15" s="2" t="s">
        <v>18</v>
      </c>
      <c r="E15" s="2" t="s">
        <v>13</v>
      </c>
      <c r="F15" s="2">
        <v>139</v>
      </c>
      <c r="G15" s="2">
        <v>21637.09</v>
      </c>
      <c r="H15" s="2">
        <v>3007556</v>
      </c>
      <c r="I15" s="2">
        <v>126</v>
      </c>
    </row>
    <row r="16" spans="1:12" ht="14.4">
      <c r="A16" s="2">
        <v>1</v>
      </c>
      <c r="B16" s="2" t="s">
        <v>9</v>
      </c>
      <c r="C16" s="2" t="s">
        <v>10</v>
      </c>
      <c r="D16" s="2" t="s">
        <v>18</v>
      </c>
      <c r="E16" s="2" t="s">
        <v>14</v>
      </c>
      <c r="F16" s="2">
        <v>436</v>
      </c>
      <c r="G16" s="2">
        <v>6932.11</v>
      </c>
      <c r="H16" s="2">
        <v>3022400</v>
      </c>
      <c r="I16" s="2">
        <v>344</v>
      </c>
    </row>
    <row r="17" spans="1:9" ht="14.4">
      <c r="A17" s="2">
        <v>1</v>
      </c>
      <c r="B17" s="2" t="s">
        <v>9</v>
      </c>
      <c r="C17" s="2" t="s">
        <v>10</v>
      </c>
      <c r="D17" s="2" t="s">
        <v>18</v>
      </c>
      <c r="E17" s="2" t="s">
        <v>15</v>
      </c>
      <c r="F17" s="2">
        <v>1163</v>
      </c>
      <c r="G17" s="2">
        <v>1146.19</v>
      </c>
      <c r="H17" s="2">
        <v>1333014</v>
      </c>
      <c r="I17" s="2">
        <v>990</v>
      </c>
    </row>
    <row r="18" spans="1:9" ht="14.4">
      <c r="A18" s="2">
        <v>1</v>
      </c>
      <c r="B18" s="2" t="s">
        <v>9</v>
      </c>
      <c r="C18" s="2" t="s">
        <v>10</v>
      </c>
      <c r="D18" s="2" t="s">
        <v>19</v>
      </c>
      <c r="E18" s="2" t="s">
        <v>12</v>
      </c>
      <c r="F18" s="2">
        <v>1092</v>
      </c>
      <c r="G18" s="2">
        <v>5364.82</v>
      </c>
      <c r="H18" s="2">
        <v>5858380</v>
      </c>
      <c r="I18" s="2">
        <v>784</v>
      </c>
    </row>
    <row r="19" spans="1:9" ht="14.4">
      <c r="A19" s="2">
        <v>1</v>
      </c>
      <c r="B19" s="2" t="s">
        <v>9</v>
      </c>
      <c r="C19" s="2" t="s">
        <v>10</v>
      </c>
      <c r="D19" s="2" t="s">
        <v>19</v>
      </c>
      <c r="E19" s="2" t="s">
        <v>13</v>
      </c>
      <c r="F19" s="2">
        <v>170</v>
      </c>
      <c r="G19" s="2">
        <v>21191.93</v>
      </c>
      <c r="H19" s="2">
        <v>3602629</v>
      </c>
      <c r="I19" s="2">
        <v>136</v>
      </c>
    </row>
    <row r="20" spans="1:9" ht="14.4">
      <c r="A20" s="2">
        <v>1</v>
      </c>
      <c r="B20" s="2" t="s">
        <v>9</v>
      </c>
      <c r="C20" s="2" t="s">
        <v>10</v>
      </c>
      <c r="D20" s="2" t="s">
        <v>19</v>
      </c>
      <c r="E20" s="2" t="s">
        <v>14</v>
      </c>
      <c r="F20" s="2">
        <v>328</v>
      </c>
      <c r="G20" s="2">
        <v>6874.64</v>
      </c>
      <c r="H20" s="2">
        <v>2254881</v>
      </c>
      <c r="I20" s="2">
        <v>289</v>
      </c>
    </row>
    <row r="21" spans="1:9" ht="15.75" customHeight="1">
      <c r="A21" s="2">
        <v>1</v>
      </c>
      <c r="B21" s="2" t="s">
        <v>9</v>
      </c>
      <c r="C21" s="2" t="s">
        <v>10</v>
      </c>
      <c r="D21" s="2" t="s">
        <v>19</v>
      </c>
      <c r="E21" s="2" t="s">
        <v>15</v>
      </c>
      <c r="F21" s="2">
        <v>688</v>
      </c>
      <c r="G21" s="2">
        <v>1288.77</v>
      </c>
      <c r="H21" s="2">
        <v>886677</v>
      </c>
      <c r="I21" s="2">
        <v>585</v>
      </c>
    </row>
    <row r="22" spans="1:9" ht="15.75" customHeight="1">
      <c r="A22" s="2">
        <v>1</v>
      </c>
      <c r="B22" s="2" t="s">
        <v>9</v>
      </c>
      <c r="C22" s="2" t="s">
        <v>10</v>
      </c>
      <c r="D22" s="2" t="s">
        <v>20</v>
      </c>
      <c r="E22" s="2" t="s">
        <v>12</v>
      </c>
      <c r="F22" s="2">
        <v>1089</v>
      </c>
      <c r="G22" s="2">
        <v>5132.16</v>
      </c>
      <c r="H22" s="2">
        <v>5588918</v>
      </c>
      <c r="I22" s="2">
        <v>997</v>
      </c>
    </row>
    <row r="23" spans="1:9" ht="15.75" customHeight="1">
      <c r="A23" s="2">
        <v>1</v>
      </c>
      <c r="B23" s="2" t="s">
        <v>9</v>
      </c>
      <c r="C23" s="2" t="s">
        <v>10</v>
      </c>
      <c r="D23" s="2" t="s">
        <v>20</v>
      </c>
      <c r="E23" s="2" t="s">
        <v>13</v>
      </c>
      <c r="F23" s="2">
        <v>171</v>
      </c>
      <c r="G23" s="2">
        <v>21252.63</v>
      </c>
      <c r="H23" s="2">
        <v>3634200</v>
      </c>
      <c r="I23" s="2">
        <v>138</v>
      </c>
    </row>
    <row r="24" spans="1:9" ht="15.75" customHeight="1">
      <c r="A24" s="2">
        <v>1</v>
      </c>
      <c r="B24" s="2" t="s">
        <v>9</v>
      </c>
      <c r="C24" s="2" t="s">
        <v>10</v>
      </c>
      <c r="D24" s="2" t="s">
        <v>20</v>
      </c>
      <c r="E24" s="2" t="s">
        <v>14</v>
      </c>
      <c r="F24" s="2">
        <v>232</v>
      </c>
      <c r="G24" s="2">
        <v>6646.68</v>
      </c>
      <c r="H24" s="2">
        <v>1542030</v>
      </c>
      <c r="I24" s="2">
        <v>181</v>
      </c>
    </row>
    <row r="25" spans="1:9" ht="15.75" customHeight="1">
      <c r="A25" s="2">
        <v>1</v>
      </c>
      <c r="B25" s="2" t="s">
        <v>9</v>
      </c>
      <c r="C25" s="2" t="s">
        <v>10</v>
      </c>
      <c r="D25" s="2" t="s">
        <v>20</v>
      </c>
      <c r="E25" s="2" t="s">
        <v>15</v>
      </c>
      <c r="F25" s="2">
        <v>498</v>
      </c>
      <c r="G25" s="2">
        <v>1158.96</v>
      </c>
      <c r="H25" s="2">
        <v>577163</v>
      </c>
      <c r="I25" s="2">
        <v>422</v>
      </c>
    </row>
    <row r="26" spans="1:9" ht="15.75" customHeight="1">
      <c r="A26" s="2">
        <v>1</v>
      </c>
      <c r="B26" s="2" t="s">
        <v>9</v>
      </c>
      <c r="C26" s="2" t="s">
        <v>10</v>
      </c>
      <c r="D26" s="2" t="s">
        <v>21</v>
      </c>
      <c r="E26" s="2" t="s">
        <v>12</v>
      </c>
      <c r="F26" s="2">
        <v>1146</v>
      </c>
      <c r="G26" s="2">
        <v>5092.43</v>
      </c>
      <c r="H26" s="2">
        <v>5835929</v>
      </c>
      <c r="I26" s="2">
        <v>1006</v>
      </c>
    </row>
    <row r="27" spans="1:9" ht="15.75" customHeight="1">
      <c r="A27" s="2">
        <v>1</v>
      </c>
      <c r="B27" s="2" t="s">
        <v>9</v>
      </c>
      <c r="C27" s="2" t="s">
        <v>10</v>
      </c>
      <c r="D27" s="2" t="s">
        <v>21</v>
      </c>
      <c r="E27" s="2" t="s">
        <v>13</v>
      </c>
      <c r="F27" s="2">
        <v>100</v>
      </c>
      <c r="G27" s="2">
        <v>21439.360000000001</v>
      </c>
      <c r="H27" s="2">
        <v>2143936</v>
      </c>
      <c r="I27" s="2">
        <v>88</v>
      </c>
    </row>
    <row r="28" spans="1:9" ht="15.75" customHeight="1">
      <c r="A28" s="2">
        <v>1</v>
      </c>
      <c r="B28" s="2" t="s">
        <v>9</v>
      </c>
      <c r="C28" s="2" t="s">
        <v>10</v>
      </c>
      <c r="D28" s="2" t="s">
        <v>21</v>
      </c>
      <c r="E28" s="2" t="s">
        <v>14</v>
      </c>
      <c r="F28" s="2">
        <v>454</v>
      </c>
      <c r="G28" s="2">
        <v>6515.54</v>
      </c>
      <c r="H28" s="2">
        <v>2958054</v>
      </c>
      <c r="I28" s="2">
        <v>367</v>
      </c>
    </row>
    <row r="29" spans="1:9" ht="15.75" customHeight="1">
      <c r="A29" s="2">
        <v>1</v>
      </c>
      <c r="B29" s="2" t="s">
        <v>9</v>
      </c>
      <c r="C29" s="2" t="s">
        <v>10</v>
      </c>
      <c r="D29" s="2" t="s">
        <v>21</v>
      </c>
      <c r="E29" s="2" t="s">
        <v>15</v>
      </c>
      <c r="F29" s="2">
        <v>1090</v>
      </c>
      <c r="G29" s="2">
        <v>1233.29</v>
      </c>
      <c r="H29" s="2">
        <v>1344285</v>
      </c>
      <c r="I29" s="2">
        <v>771</v>
      </c>
    </row>
    <row r="30" spans="1:9" ht="15.75" customHeight="1">
      <c r="A30" s="2">
        <v>1</v>
      </c>
      <c r="B30" s="2" t="s">
        <v>9</v>
      </c>
      <c r="C30" s="2" t="s">
        <v>10</v>
      </c>
      <c r="D30" s="2" t="s">
        <v>22</v>
      </c>
      <c r="E30" s="2" t="s">
        <v>12</v>
      </c>
      <c r="F30" s="2">
        <v>840</v>
      </c>
      <c r="G30" s="2">
        <v>5318.35</v>
      </c>
      <c r="H30" s="2">
        <v>4467416</v>
      </c>
      <c r="I30" s="2">
        <v>778</v>
      </c>
    </row>
    <row r="31" spans="1:9" ht="15.75" customHeight="1">
      <c r="A31" s="2">
        <v>1</v>
      </c>
      <c r="B31" s="2" t="s">
        <v>9</v>
      </c>
      <c r="C31" s="2" t="s">
        <v>10</v>
      </c>
      <c r="D31" s="2" t="s">
        <v>22</v>
      </c>
      <c r="E31" s="2" t="s">
        <v>13</v>
      </c>
      <c r="F31" s="2">
        <v>242</v>
      </c>
      <c r="G31" s="2">
        <v>19909.939999999999</v>
      </c>
      <c r="H31" s="2">
        <v>4818207</v>
      </c>
      <c r="I31" s="2">
        <v>215</v>
      </c>
    </row>
    <row r="32" spans="1:9" ht="15.75" customHeight="1">
      <c r="A32" s="2">
        <v>1</v>
      </c>
      <c r="B32" s="2" t="s">
        <v>9</v>
      </c>
      <c r="C32" s="2" t="s">
        <v>10</v>
      </c>
      <c r="D32" s="2" t="s">
        <v>22</v>
      </c>
      <c r="E32" s="2" t="s">
        <v>14</v>
      </c>
      <c r="F32" s="2">
        <v>235</v>
      </c>
      <c r="G32" s="2">
        <v>6740.73</v>
      </c>
      <c r="H32" s="2">
        <v>1584071</v>
      </c>
      <c r="I32" s="2">
        <v>205</v>
      </c>
    </row>
    <row r="33" spans="1:9" ht="15.75" customHeight="1">
      <c r="A33" s="2">
        <v>1</v>
      </c>
      <c r="B33" s="2" t="s">
        <v>9</v>
      </c>
      <c r="C33" s="2" t="s">
        <v>10</v>
      </c>
      <c r="D33" s="2" t="s">
        <v>22</v>
      </c>
      <c r="E33" s="2" t="s">
        <v>15</v>
      </c>
      <c r="F33" s="2">
        <v>1195</v>
      </c>
      <c r="G33" s="2">
        <v>1260.81</v>
      </c>
      <c r="H33" s="2">
        <v>1506667</v>
      </c>
      <c r="I33" s="2">
        <v>1114</v>
      </c>
    </row>
    <row r="34" spans="1:9" ht="15.75" customHeight="1">
      <c r="A34" s="2">
        <v>1</v>
      </c>
      <c r="B34" s="2" t="s">
        <v>9</v>
      </c>
      <c r="C34" s="2" t="s">
        <v>10</v>
      </c>
      <c r="D34" s="2" t="s">
        <v>23</v>
      </c>
      <c r="E34" s="2" t="s">
        <v>12</v>
      </c>
      <c r="F34" s="2">
        <v>1156</v>
      </c>
      <c r="G34" s="2">
        <v>5177.9399999999996</v>
      </c>
      <c r="H34" s="2">
        <v>5985694</v>
      </c>
      <c r="I34" s="2">
        <v>941</v>
      </c>
    </row>
    <row r="35" spans="1:9" ht="15.75" customHeight="1">
      <c r="A35" s="2">
        <v>1</v>
      </c>
      <c r="B35" s="2" t="s">
        <v>9</v>
      </c>
      <c r="C35" s="2" t="s">
        <v>10</v>
      </c>
      <c r="D35" s="2" t="s">
        <v>23</v>
      </c>
      <c r="E35" s="2" t="s">
        <v>13</v>
      </c>
      <c r="F35" s="2">
        <v>207</v>
      </c>
      <c r="G35" s="2">
        <v>21247.07</v>
      </c>
      <c r="H35" s="2">
        <v>4398143</v>
      </c>
      <c r="I35" s="2">
        <v>154</v>
      </c>
    </row>
    <row r="36" spans="1:9" ht="15.75" customHeight="1">
      <c r="A36" s="2">
        <v>1</v>
      </c>
      <c r="B36" s="2" t="s">
        <v>9</v>
      </c>
      <c r="C36" s="2" t="s">
        <v>10</v>
      </c>
      <c r="D36" s="2" t="s">
        <v>23</v>
      </c>
      <c r="E36" s="2" t="s">
        <v>14</v>
      </c>
      <c r="F36" s="2">
        <v>485</v>
      </c>
      <c r="G36" s="2">
        <v>6596.78</v>
      </c>
      <c r="H36" s="2">
        <v>3199436</v>
      </c>
      <c r="I36" s="2">
        <v>354</v>
      </c>
    </row>
    <row r="37" spans="1:9" ht="15.75" customHeight="1">
      <c r="A37" s="2">
        <v>1</v>
      </c>
      <c r="B37" s="2" t="s">
        <v>9</v>
      </c>
      <c r="C37" s="2" t="s">
        <v>10</v>
      </c>
      <c r="D37" s="2" t="s">
        <v>23</v>
      </c>
      <c r="E37" s="2" t="s">
        <v>15</v>
      </c>
      <c r="F37" s="2">
        <v>872</v>
      </c>
      <c r="G37" s="2">
        <v>1275.08</v>
      </c>
      <c r="H37" s="2">
        <v>1111869</v>
      </c>
      <c r="I37" s="2">
        <v>679</v>
      </c>
    </row>
    <row r="38" spans="1:9" ht="15.75" customHeight="1">
      <c r="A38" s="2">
        <v>1</v>
      </c>
      <c r="B38" s="2" t="s">
        <v>9</v>
      </c>
      <c r="C38" s="2" t="s">
        <v>10</v>
      </c>
      <c r="D38" s="2" t="s">
        <v>24</v>
      </c>
      <c r="E38" s="2" t="s">
        <v>12</v>
      </c>
      <c r="F38" s="2">
        <v>824</v>
      </c>
      <c r="G38" s="2">
        <v>5469.98</v>
      </c>
      <c r="H38" s="2">
        <v>4507267</v>
      </c>
      <c r="I38" s="2">
        <v>576</v>
      </c>
    </row>
    <row r="39" spans="1:9" ht="15.75" customHeight="1">
      <c r="A39" s="2">
        <v>1</v>
      </c>
      <c r="B39" s="2" t="s">
        <v>9</v>
      </c>
      <c r="C39" s="2" t="s">
        <v>10</v>
      </c>
      <c r="D39" s="2" t="s">
        <v>24</v>
      </c>
      <c r="E39" s="2" t="s">
        <v>13</v>
      </c>
      <c r="F39" s="2">
        <v>102</v>
      </c>
      <c r="G39" s="2">
        <v>20450.939999999999</v>
      </c>
      <c r="H39" s="2">
        <v>2085996</v>
      </c>
      <c r="I39" s="2">
        <v>71</v>
      </c>
    </row>
    <row r="40" spans="1:9" ht="15.75" customHeight="1">
      <c r="A40" s="2">
        <v>1</v>
      </c>
      <c r="B40" s="2" t="s">
        <v>9</v>
      </c>
      <c r="C40" s="2" t="s">
        <v>10</v>
      </c>
      <c r="D40" s="2" t="s">
        <v>24</v>
      </c>
      <c r="E40" s="2" t="s">
        <v>14</v>
      </c>
      <c r="F40" s="2">
        <v>336</v>
      </c>
      <c r="G40" s="2">
        <v>7283.53</v>
      </c>
      <c r="H40" s="2">
        <v>2447268</v>
      </c>
      <c r="I40" s="2">
        <v>257</v>
      </c>
    </row>
    <row r="41" spans="1:9" ht="15.75" customHeight="1">
      <c r="A41" s="2">
        <v>1</v>
      </c>
      <c r="B41" s="2" t="s">
        <v>9</v>
      </c>
      <c r="C41" s="2" t="s">
        <v>10</v>
      </c>
      <c r="D41" s="2" t="s">
        <v>24</v>
      </c>
      <c r="E41" s="2" t="s">
        <v>15</v>
      </c>
      <c r="F41" s="2">
        <v>1063</v>
      </c>
      <c r="G41" s="2">
        <v>1184.67</v>
      </c>
      <c r="H41" s="2">
        <v>1259300</v>
      </c>
      <c r="I41" s="2">
        <v>994</v>
      </c>
    </row>
    <row r="42" spans="1:9" ht="15.75" customHeight="1">
      <c r="A42" s="2">
        <v>1</v>
      </c>
      <c r="B42" s="2" t="s">
        <v>9</v>
      </c>
      <c r="C42" s="2" t="s">
        <v>10</v>
      </c>
      <c r="D42" s="2" t="s">
        <v>25</v>
      </c>
      <c r="E42" s="2" t="s">
        <v>12</v>
      </c>
      <c r="F42" s="2">
        <v>973</v>
      </c>
      <c r="G42" s="2">
        <v>5360.26</v>
      </c>
      <c r="H42" s="2">
        <v>5215537</v>
      </c>
      <c r="I42" s="2">
        <v>779</v>
      </c>
    </row>
    <row r="43" spans="1:9" ht="15.75" customHeight="1">
      <c r="A43" s="2">
        <v>1</v>
      </c>
      <c r="B43" s="2" t="s">
        <v>9</v>
      </c>
      <c r="C43" s="2" t="s">
        <v>10</v>
      </c>
      <c r="D43" s="2" t="s">
        <v>25</v>
      </c>
      <c r="E43" s="2" t="s">
        <v>13</v>
      </c>
      <c r="F43" s="2">
        <v>161</v>
      </c>
      <c r="G43" s="2">
        <v>20333.189999999999</v>
      </c>
      <c r="H43" s="2">
        <v>3273643</v>
      </c>
      <c r="I43" s="2">
        <v>151</v>
      </c>
    </row>
    <row r="44" spans="1:9" ht="15.75" customHeight="1">
      <c r="A44" s="2">
        <v>1</v>
      </c>
      <c r="B44" s="2" t="s">
        <v>9</v>
      </c>
      <c r="C44" s="2" t="s">
        <v>10</v>
      </c>
      <c r="D44" s="2" t="s">
        <v>25</v>
      </c>
      <c r="E44" s="2" t="s">
        <v>14</v>
      </c>
      <c r="F44" s="2">
        <v>251</v>
      </c>
      <c r="G44" s="2">
        <v>6945.36</v>
      </c>
      <c r="H44" s="2">
        <v>1743286</v>
      </c>
      <c r="I44" s="2">
        <v>220</v>
      </c>
    </row>
    <row r="45" spans="1:9" ht="15.75" customHeight="1">
      <c r="A45" s="2">
        <v>1</v>
      </c>
      <c r="B45" s="2" t="s">
        <v>9</v>
      </c>
      <c r="C45" s="2" t="s">
        <v>10</v>
      </c>
      <c r="D45" s="2" t="s">
        <v>25</v>
      </c>
      <c r="E45" s="2" t="s">
        <v>15</v>
      </c>
      <c r="F45" s="2">
        <v>1012</v>
      </c>
      <c r="G45" s="2">
        <v>1094.54</v>
      </c>
      <c r="H45" s="2">
        <v>1107674</v>
      </c>
      <c r="I45" s="2">
        <v>780</v>
      </c>
    </row>
    <row r="46" spans="1:9" ht="15.75" customHeight="1">
      <c r="A46" s="2">
        <v>1</v>
      </c>
      <c r="B46" s="2" t="s">
        <v>9</v>
      </c>
      <c r="C46" s="2" t="s">
        <v>10</v>
      </c>
      <c r="D46" s="2" t="s">
        <v>26</v>
      </c>
      <c r="E46" s="2" t="s">
        <v>12</v>
      </c>
      <c r="F46" s="2">
        <v>680</v>
      </c>
      <c r="G46" s="2">
        <v>5211.6499999999996</v>
      </c>
      <c r="H46" s="2">
        <v>3543920</v>
      </c>
      <c r="I46" s="2">
        <v>534</v>
      </c>
    </row>
    <row r="47" spans="1:9" ht="15.75" customHeight="1">
      <c r="A47" s="2">
        <v>1</v>
      </c>
      <c r="B47" s="2" t="s">
        <v>9</v>
      </c>
      <c r="C47" s="2" t="s">
        <v>10</v>
      </c>
      <c r="D47" s="2" t="s">
        <v>26</v>
      </c>
      <c r="E47" s="2" t="s">
        <v>13</v>
      </c>
      <c r="F47" s="2">
        <v>228</v>
      </c>
      <c r="G47" s="2">
        <v>21432.67</v>
      </c>
      <c r="H47" s="2">
        <v>4886648</v>
      </c>
      <c r="I47" s="2">
        <v>173</v>
      </c>
    </row>
    <row r="48" spans="1:9" ht="15.75" customHeight="1">
      <c r="A48" s="2">
        <v>1</v>
      </c>
      <c r="B48" s="2" t="s">
        <v>9</v>
      </c>
      <c r="C48" s="2" t="s">
        <v>10</v>
      </c>
      <c r="D48" s="2" t="s">
        <v>26</v>
      </c>
      <c r="E48" s="2" t="s">
        <v>14</v>
      </c>
      <c r="F48" s="2">
        <v>329</v>
      </c>
      <c r="G48" s="2">
        <v>5950.37</v>
      </c>
      <c r="H48" s="2">
        <v>1957672</v>
      </c>
      <c r="I48" s="2">
        <v>275</v>
      </c>
    </row>
    <row r="49" spans="1:9" ht="15.75" customHeight="1">
      <c r="A49" s="2">
        <v>1</v>
      </c>
      <c r="B49" s="2" t="s">
        <v>9</v>
      </c>
      <c r="C49" s="2" t="s">
        <v>10</v>
      </c>
      <c r="D49" s="2" t="s">
        <v>26</v>
      </c>
      <c r="E49" s="2" t="s">
        <v>15</v>
      </c>
      <c r="F49" s="2">
        <v>646</v>
      </c>
      <c r="G49" s="2">
        <v>1348.03</v>
      </c>
      <c r="H49" s="2">
        <v>870829</v>
      </c>
      <c r="I49" s="2">
        <v>560</v>
      </c>
    </row>
    <row r="50" spans="1:9" ht="15.75" customHeight="1">
      <c r="A50" s="2">
        <v>2</v>
      </c>
      <c r="B50" s="2" t="s">
        <v>27</v>
      </c>
      <c r="C50" s="2" t="s">
        <v>28</v>
      </c>
      <c r="D50" s="2" t="s">
        <v>11</v>
      </c>
      <c r="E50" s="2" t="s">
        <v>12</v>
      </c>
      <c r="F50" s="2">
        <v>802</v>
      </c>
      <c r="G50" s="2">
        <v>5035.62</v>
      </c>
      <c r="H50" s="2">
        <v>4038571</v>
      </c>
      <c r="I50" s="2">
        <v>722</v>
      </c>
    </row>
    <row r="51" spans="1:9" ht="15.75" customHeight="1">
      <c r="A51" s="2">
        <v>2</v>
      </c>
      <c r="B51" s="2" t="s">
        <v>27</v>
      </c>
      <c r="C51" s="2" t="s">
        <v>28</v>
      </c>
      <c r="D51" s="2" t="s">
        <v>11</v>
      </c>
      <c r="E51" s="2" t="s">
        <v>13</v>
      </c>
      <c r="F51" s="2">
        <v>168</v>
      </c>
      <c r="G51" s="2">
        <v>20965.400000000001</v>
      </c>
      <c r="H51" s="2">
        <v>3522188</v>
      </c>
      <c r="I51" s="2">
        <v>144</v>
      </c>
    </row>
    <row r="52" spans="1:9" ht="15.75" customHeight="1">
      <c r="A52" s="2">
        <v>2</v>
      </c>
      <c r="B52" s="2" t="s">
        <v>27</v>
      </c>
      <c r="C52" s="2" t="s">
        <v>28</v>
      </c>
      <c r="D52" s="2" t="s">
        <v>11</v>
      </c>
      <c r="E52" s="2" t="s">
        <v>14</v>
      </c>
      <c r="F52" s="2">
        <v>397</v>
      </c>
      <c r="G52" s="2">
        <v>7065.42</v>
      </c>
      <c r="H52" s="2">
        <v>2804970</v>
      </c>
      <c r="I52" s="2">
        <v>357</v>
      </c>
    </row>
    <row r="53" spans="1:9" ht="15.75" customHeight="1">
      <c r="A53" s="2">
        <v>2</v>
      </c>
      <c r="B53" s="2" t="s">
        <v>27</v>
      </c>
      <c r="C53" s="2" t="s">
        <v>28</v>
      </c>
      <c r="D53" s="2" t="s">
        <v>11</v>
      </c>
      <c r="E53" s="2" t="s">
        <v>15</v>
      </c>
      <c r="F53" s="2">
        <v>600</v>
      </c>
      <c r="G53" s="2">
        <v>1161.05</v>
      </c>
      <c r="H53" s="2">
        <v>696633</v>
      </c>
      <c r="I53" s="2">
        <v>468</v>
      </c>
    </row>
    <row r="54" spans="1:9" ht="15.75" customHeight="1">
      <c r="A54" s="2">
        <v>2</v>
      </c>
      <c r="B54" s="2" t="s">
        <v>27</v>
      </c>
      <c r="C54" s="2" t="s">
        <v>28</v>
      </c>
      <c r="D54" s="2" t="s">
        <v>16</v>
      </c>
      <c r="E54" s="2" t="s">
        <v>12</v>
      </c>
      <c r="F54" s="2">
        <v>925</v>
      </c>
      <c r="G54" s="2">
        <v>5457.93</v>
      </c>
      <c r="H54" s="2">
        <v>5048589</v>
      </c>
      <c r="I54" s="2">
        <v>722</v>
      </c>
    </row>
    <row r="55" spans="1:9" ht="15.75" customHeight="1">
      <c r="A55" s="2">
        <v>2</v>
      </c>
      <c r="B55" s="2" t="s">
        <v>27</v>
      </c>
      <c r="C55" s="2" t="s">
        <v>28</v>
      </c>
      <c r="D55" s="2" t="s">
        <v>16</v>
      </c>
      <c r="E55" s="2" t="s">
        <v>13</v>
      </c>
      <c r="F55" s="2">
        <v>246</v>
      </c>
      <c r="G55" s="2">
        <v>21845.19</v>
      </c>
      <c r="H55" s="2">
        <v>5373917</v>
      </c>
      <c r="I55" s="2">
        <v>215</v>
      </c>
    </row>
    <row r="56" spans="1:9" ht="15.75" customHeight="1">
      <c r="A56" s="2">
        <v>2</v>
      </c>
      <c r="B56" s="2" t="s">
        <v>27</v>
      </c>
      <c r="C56" s="2" t="s">
        <v>28</v>
      </c>
      <c r="D56" s="2" t="s">
        <v>16</v>
      </c>
      <c r="E56" s="2" t="s">
        <v>14</v>
      </c>
      <c r="F56" s="2">
        <v>346</v>
      </c>
      <c r="G56" s="2">
        <v>6483.91</v>
      </c>
      <c r="H56" s="2">
        <v>2243433</v>
      </c>
      <c r="I56" s="2">
        <v>323</v>
      </c>
    </row>
    <row r="57" spans="1:9" ht="15.75" customHeight="1">
      <c r="A57" s="2">
        <v>2</v>
      </c>
      <c r="B57" s="2" t="s">
        <v>27</v>
      </c>
      <c r="C57" s="2" t="s">
        <v>28</v>
      </c>
      <c r="D57" s="2" t="s">
        <v>16</v>
      </c>
      <c r="E57" s="2" t="s">
        <v>15</v>
      </c>
      <c r="F57" s="2">
        <v>1039</v>
      </c>
      <c r="G57" s="2">
        <v>1173.01</v>
      </c>
      <c r="H57" s="2">
        <v>1218754</v>
      </c>
      <c r="I57" s="2">
        <v>861</v>
      </c>
    </row>
    <row r="58" spans="1:9" ht="15.75" customHeight="1">
      <c r="A58" s="2">
        <v>2</v>
      </c>
      <c r="B58" s="2" t="s">
        <v>27</v>
      </c>
      <c r="C58" s="2" t="s">
        <v>28</v>
      </c>
      <c r="D58" s="2" t="s">
        <v>17</v>
      </c>
      <c r="E58" s="2" t="s">
        <v>12</v>
      </c>
      <c r="F58" s="2">
        <v>1072</v>
      </c>
      <c r="G58" s="2">
        <v>5341.13</v>
      </c>
      <c r="H58" s="2">
        <v>5725691</v>
      </c>
      <c r="I58" s="2">
        <v>936</v>
      </c>
    </row>
    <row r="59" spans="1:9" ht="15.75" customHeight="1">
      <c r="A59" s="2">
        <v>2</v>
      </c>
      <c r="B59" s="2" t="s">
        <v>27</v>
      </c>
      <c r="C59" s="2" t="s">
        <v>28</v>
      </c>
      <c r="D59" s="2" t="s">
        <v>17</v>
      </c>
      <c r="E59" s="2" t="s">
        <v>13</v>
      </c>
      <c r="F59" s="2">
        <v>106</v>
      </c>
      <c r="G59" s="2">
        <v>20345.21</v>
      </c>
      <c r="H59" s="2">
        <v>2156593</v>
      </c>
      <c r="I59" s="2">
        <v>91</v>
      </c>
    </row>
    <row r="60" spans="1:9" ht="15.75" customHeight="1">
      <c r="A60" s="2">
        <v>2</v>
      </c>
      <c r="B60" s="2" t="s">
        <v>27</v>
      </c>
      <c r="C60" s="2" t="s">
        <v>28</v>
      </c>
      <c r="D60" s="2" t="s">
        <v>17</v>
      </c>
      <c r="E60" s="2" t="s">
        <v>14</v>
      </c>
      <c r="F60" s="2">
        <v>311</v>
      </c>
      <c r="G60" s="2">
        <v>7109.17</v>
      </c>
      <c r="H60" s="2">
        <v>2210951</v>
      </c>
      <c r="I60" s="2">
        <v>236</v>
      </c>
    </row>
    <row r="61" spans="1:9" ht="15.75" customHeight="1">
      <c r="A61" s="2">
        <v>2</v>
      </c>
      <c r="B61" s="2" t="s">
        <v>27</v>
      </c>
      <c r="C61" s="2" t="s">
        <v>28</v>
      </c>
      <c r="D61" s="2" t="s">
        <v>17</v>
      </c>
      <c r="E61" s="2" t="s">
        <v>15</v>
      </c>
      <c r="F61" s="2">
        <v>703</v>
      </c>
      <c r="G61" s="2">
        <v>1453.92</v>
      </c>
      <c r="H61" s="2">
        <v>1022103</v>
      </c>
      <c r="I61" s="2">
        <v>661</v>
      </c>
    </row>
    <row r="62" spans="1:9" ht="15.75" customHeight="1">
      <c r="A62" s="2">
        <v>2</v>
      </c>
      <c r="B62" s="2" t="s">
        <v>27</v>
      </c>
      <c r="C62" s="2" t="s">
        <v>28</v>
      </c>
      <c r="D62" s="2" t="s">
        <v>18</v>
      </c>
      <c r="E62" s="2" t="s">
        <v>12</v>
      </c>
      <c r="F62" s="2">
        <v>1052</v>
      </c>
      <c r="G62" s="2">
        <v>5351.98</v>
      </c>
      <c r="H62" s="2">
        <v>5630279</v>
      </c>
      <c r="I62" s="2">
        <v>825</v>
      </c>
    </row>
    <row r="63" spans="1:9" ht="15.75" customHeight="1">
      <c r="A63" s="2">
        <v>2</v>
      </c>
      <c r="B63" s="2" t="s">
        <v>27</v>
      </c>
      <c r="C63" s="2" t="s">
        <v>28</v>
      </c>
      <c r="D63" s="2" t="s">
        <v>18</v>
      </c>
      <c r="E63" s="2" t="s">
        <v>13</v>
      </c>
      <c r="F63" s="2">
        <v>198</v>
      </c>
      <c r="G63" s="2">
        <v>22125.46</v>
      </c>
      <c r="H63" s="2">
        <v>4380841</v>
      </c>
      <c r="I63" s="2">
        <v>173</v>
      </c>
    </row>
    <row r="64" spans="1:9" ht="15.75" customHeight="1">
      <c r="A64" s="2">
        <v>2</v>
      </c>
      <c r="B64" s="2" t="s">
        <v>27</v>
      </c>
      <c r="C64" s="2" t="s">
        <v>28</v>
      </c>
      <c r="D64" s="2" t="s">
        <v>18</v>
      </c>
      <c r="E64" s="2" t="s">
        <v>14</v>
      </c>
      <c r="F64" s="2">
        <v>407</v>
      </c>
      <c r="G64" s="2">
        <v>6885.29</v>
      </c>
      <c r="H64" s="2">
        <v>2802314</v>
      </c>
      <c r="I64" s="2">
        <v>293</v>
      </c>
    </row>
    <row r="65" spans="1:9" ht="15.75" customHeight="1">
      <c r="A65" s="2">
        <v>2</v>
      </c>
      <c r="B65" s="2" t="s">
        <v>27</v>
      </c>
      <c r="C65" s="2" t="s">
        <v>28</v>
      </c>
      <c r="D65" s="2" t="s">
        <v>18</v>
      </c>
      <c r="E65" s="2" t="s">
        <v>15</v>
      </c>
      <c r="F65" s="2">
        <v>819</v>
      </c>
      <c r="G65" s="2">
        <v>1321.71</v>
      </c>
      <c r="H65" s="2">
        <v>1082478</v>
      </c>
      <c r="I65" s="2">
        <v>757</v>
      </c>
    </row>
    <row r="66" spans="1:9" ht="15.75" customHeight="1">
      <c r="A66" s="2">
        <v>2</v>
      </c>
      <c r="B66" s="2" t="s">
        <v>27</v>
      </c>
      <c r="C66" s="2" t="s">
        <v>28</v>
      </c>
      <c r="D66" s="2" t="s">
        <v>19</v>
      </c>
      <c r="E66" s="2" t="s">
        <v>12</v>
      </c>
      <c r="F66" s="2">
        <v>853</v>
      </c>
      <c r="G66" s="2">
        <v>5334.97</v>
      </c>
      <c r="H66" s="2">
        <v>4550727</v>
      </c>
      <c r="I66" s="2">
        <v>744</v>
      </c>
    </row>
    <row r="67" spans="1:9" ht="15.75" customHeight="1">
      <c r="A67" s="2">
        <v>2</v>
      </c>
      <c r="B67" s="2" t="s">
        <v>27</v>
      </c>
      <c r="C67" s="2" t="s">
        <v>28</v>
      </c>
      <c r="D67" s="2" t="s">
        <v>19</v>
      </c>
      <c r="E67" s="2" t="s">
        <v>13</v>
      </c>
      <c r="F67" s="2">
        <v>167</v>
      </c>
      <c r="G67" s="2">
        <v>20526.52</v>
      </c>
      <c r="H67" s="2">
        <v>3427928</v>
      </c>
      <c r="I67" s="2">
        <v>126</v>
      </c>
    </row>
    <row r="68" spans="1:9" ht="15.75" customHeight="1">
      <c r="A68" s="2">
        <v>2</v>
      </c>
      <c r="B68" s="2" t="s">
        <v>27</v>
      </c>
      <c r="C68" s="2" t="s">
        <v>28</v>
      </c>
      <c r="D68" s="2" t="s">
        <v>19</v>
      </c>
      <c r="E68" s="2" t="s">
        <v>14</v>
      </c>
      <c r="F68" s="2">
        <v>476</v>
      </c>
      <c r="G68" s="2">
        <v>6561.24</v>
      </c>
      <c r="H68" s="2">
        <v>3123151</v>
      </c>
      <c r="I68" s="2">
        <v>421</v>
      </c>
    </row>
    <row r="69" spans="1:9" ht="15.75" customHeight="1">
      <c r="A69" s="2">
        <v>2</v>
      </c>
      <c r="B69" s="2" t="s">
        <v>27</v>
      </c>
      <c r="C69" s="2" t="s">
        <v>28</v>
      </c>
      <c r="D69" s="2" t="s">
        <v>19</v>
      </c>
      <c r="E69" s="2" t="s">
        <v>15</v>
      </c>
      <c r="F69" s="2">
        <v>594</v>
      </c>
      <c r="G69" s="2">
        <v>1088.75</v>
      </c>
      <c r="H69" s="2">
        <v>646718</v>
      </c>
      <c r="I69" s="2">
        <v>513</v>
      </c>
    </row>
    <row r="70" spans="1:9" ht="15.75" customHeight="1">
      <c r="A70" s="2">
        <v>2</v>
      </c>
      <c r="B70" s="2" t="s">
        <v>27</v>
      </c>
      <c r="C70" s="2" t="s">
        <v>28</v>
      </c>
      <c r="D70" s="2" t="s">
        <v>20</v>
      </c>
      <c r="E70" s="2" t="s">
        <v>12</v>
      </c>
      <c r="F70" s="2">
        <v>632</v>
      </c>
      <c r="G70" s="2">
        <v>5426.85</v>
      </c>
      <c r="H70" s="2">
        <v>3429768</v>
      </c>
      <c r="I70" s="2">
        <v>542</v>
      </c>
    </row>
    <row r="71" spans="1:9" ht="15.75" customHeight="1">
      <c r="A71" s="2">
        <v>2</v>
      </c>
      <c r="B71" s="2" t="s">
        <v>27</v>
      </c>
      <c r="C71" s="2" t="s">
        <v>28</v>
      </c>
      <c r="D71" s="2" t="s">
        <v>20</v>
      </c>
      <c r="E71" s="2" t="s">
        <v>13</v>
      </c>
      <c r="F71" s="2">
        <v>121</v>
      </c>
      <c r="G71" s="2">
        <v>23948.880000000001</v>
      </c>
      <c r="H71" s="2">
        <v>2897814</v>
      </c>
      <c r="I71" s="2">
        <v>92</v>
      </c>
    </row>
    <row r="72" spans="1:9" ht="15.75" customHeight="1">
      <c r="A72" s="2">
        <v>2</v>
      </c>
      <c r="B72" s="2" t="s">
        <v>27</v>
      </c>
      <c r="C72" s="2" t="s">
        <v>28</v>
      </c>
      <c r="D72" s="2" t="s">
        <v>20</v>
      </c>
      <c r="E72" s="2" t="s">
        <v>14</v>
      </c>
      <c r="F72" s="2">
        <v>237</v>
      </c>
      <c r="G72" s="2">
        <v>6696.57</v>
      </c>
      <c r="H72" s="2">
        <v>1587086</v>
      </c>
      <c r="I72" s="2">
        <v>219</v>
      </c>
    </row>
    <row r="73" spans="1:9" ht="15.75" customHeight="1">
      <c r="A73" s="2">
        <v>2</v>
      </c>
      <c r="B73" s="2" t="s">
        <v>27</v>
      </c>
      <c r="C73" s="2" t="s">
        <v>28</v>
      </c>
      <c r="D73" s="2" t="s">
        <v>20</v>
      </c>
      <c r="E73" s="2" t="s">
        <v>15</v>
      </c>
      <c r="F73" s="2">
        <v>426</v>
      </c>
      <c r="G73" s="2">
        <v>1241.3399999999999</v>
      </c>
      <c r="H73" s="2">
        <v>528809</v>
      </c>
      <c r="I73" s="2">
        <v>382</v>
      </c>
    </row>
    <row r="74" spans="1:9" ht="15.75" customHeight="1">
      <c r="A74" s="2">
        <v>2</v>
      </c>
      <c r="B74" s="2" t="s">
        <v>27</v>
      </c>
      <c r="C74" s="2" t="s">
        <v>28</v>
      </c>
      <c r="D74" s="2" t="s">
        <v>21</v>
      </c>
      <c r="E74" s="2" t="s">
        <v>12</v>
      </c>
      <c r="F74" s="2">
        <v>883</v>
      </c>
      <c r="G74" s="2">
        <v>5470.02</v>
      </c>
      <c r="H74" s="2">
        <v>4830031</v>
      </c>
      <c r="I74" s="2">
        <v>668</v>
      </c>
    </row>
    <row r="75" spans="1:9" ht="15.75" customHeight="1">
      <c r="A75" s="2">
        <v>2</v>
      </c>
      <c r="B75" s="2" t="s">
        <v>27</v>
      </c>
      <c r="C75" s="2" t="s">
        <v>28</v>
      </c>
      <c r="D75" s="2" t="s">
        <v>21</v>
      </c>
      <c r="E75" s="2" t="s">
        <v>13</v>
      </c>
      <c r="F75" s="2">
        <v>147</v>
      </c>
      <c r="G75" s="2">
        <v>21815.47</v>
      </c>
      <c r="H75" s="2">
        <v>3206874</v>
      </c>
      <c r="I75" s="2">
        <v>113</v>
      </c>
    </row>
    <row r="76" spans="1:9" ht="15.75" customHeight="1">
      <c r="A76" s="2">
        <v>2</v>
      </c>
      <c r="B76" s="2" t="s">
        <v>27</v>
      </c>
      <c r="C76" s="2" t="s">
        <v>28</v>
      </c>
      <c r="D76" s="2" t="s">
        <v>21</v>
      </c>
      <c r="E76" s="2" t="s">
        <v>14</v>
      </c>
      <c r="F76" s="2">
        <v>234</v>
      </c>
      <c r="G76" s="2">
        <v>6696.53</v>
      </c>
      <c r="H76" s="2">
        <v>1566987</v>
      </c>
      <c r="I76" s="2">
        <v>180</v>
      </c>
    </row>
    <row r="77" spans="1:9" ht="15.75" customHeight="1">
      <c r="A77" s="2">
        <v>2</v>
      </c>
      <c r="B77" s="2" t="s">
        <v>27</v>
      </c>
      <c r="C77" s="2" t="s">
        <v>28</v>
      </c>
      <c r="D77" s="2" t="s">
        <v>21</v>
      </c>
      <c r="E77" s="2" t="s">
        <v>15</v>
      </c>
      <c r="F77" s="2">
        <v>917</v>
      </c>
      <c r="G77" s="2">
        <v>1219.06</v>
      </c>
      <c r="H77" s="2">
        <v>1117878</v>
      </c>
      <c r="I77" s="2">
        <v>726</v>
      </c>
    </row>
    <row r="78" spans="1:9" ht="15.75" customHeight="1">
      <c r="A78" s="2">
        <v>2</v>
      </c>
      <c r="B78" s="2" t="s">
        <v>27</v>
      </c>
      <c r="C78" s="2" t="s">
        <v>28</v>
      </c>
      <c r="D78" s="2" t="s">
        <v>22</v>
      </c>
      <c r="E78" s="2" t="s">
        <v>12</v>
      </c>
      <c r="F78" s="2">
        <v>636</v>
      </c>
      <c r="G78" s="2">
        <v>5275.17</v>
      </c>
      <c r="H78" s="2">
        <v>3355010</v>
      </c>
      <c r="I78" s="2">
        <v>598</v>
      </c>
    </row>
    <row r="79" spans="1:9" ht="15.75" customHeight="1">
      <c r="A79" s="2">
        <v>2</v>
      </c>
      <c r="B79" s="2" t="s">
        <v>27</v>
      </c>
      <c r="C79" s="2" t="s">
        <v>28</v>
      </c>
      <c r="D79" s="2" t="s">
        <v>22</v>
      </c>
      <c r="E79" s="2" t="s">
        <v>13</v>
      </c>
      <c r="F79" s="2">
        <v>198</v>
      </c>
      <c r="G79" s="2">
        <v>22092.27</v>
      </c>
      <c r="H79" s="2">
        <v>4374270</v>
      </c>
      <c r="I79" s="2">
        <v>187</v>
      </c>
    </row>
    <row r="80" spans="1:9" ht="15.75" customHeight="1">
      <c r="A80" s="2">
        <v>2</v>
      </c>
      <c r="B80" s="2" t="s">
        <v>27</v>
      </c>
      <c r="C80" s="2" t="s">
        <v>28</v>
      </c>
      <c r="D80" s="2" t="s">
        <v>22</v>
      </c>
      <c r="E80" s="2" t="s">
        <v>14</v>
      </c>
      <c r="F80" s="2">
        <v>315</v>
      </c>
      <c r="G80" s="2">
        <v>6445.96</v>
      </c>
      <c r="H80" s="2">
        <v>2030478</v>
      </c>
      <c r="I80" s="2">
        <v>287</v>
      </c>
    </row>
    <row r="81" spans="1:9" ht="15.75" customHeight="1">
      <c r="A81" s="2">
        <v>2</v>
      </c>
      <c r="B81" s="2" t="s">
        <v>27</v>
      </c>
      <c r="C81" s="2" t="s">
        <v>28</v>
      </c>
      <c r="D81" s="2" t="s">
        <v>22</v>
      </c>
      <c r="E81" s="2" t="s">
        <v>15</v>
      </c>
      <c r="F81" s="2">
        <v>655</v>
      </c>
      <c r="G81" s="2">
        <v>1048.52</v>
      </c>
      <c r="H81" s="2">
        <v>686778</v>
      </c>
      <c r="I81" s="2">
        <v>537</v>
      </c>
    </row>
    <row r="82" spans="1:9" ht="15.75" customHeight="1">
      <c r="A82" s="2">
        <v>2</v>
      </c>
      <c r="B82" s="2" t="s">
        <v>27</v>
      </c>
      <c r="C82" s="2" t="s">
        <v>28</v>
      </c>
      <c r="D82" s="2" t="s">
        <v>23</v>
      </c>
      <c r="E82" s="2" t="s">
        <v>12</v>
      </c>
      <c r="F82" s="2">
        <v>617</v>
      </c>
      <c r="G82" s="2">
        <v>5442.02</v>
      </c>
      <c r="H82" s="2">
        <v>3357727</v>
      </c>
      <c r="I82" s="2">
        <v>539</v>
      </c>
    </row>
    <row r="83" spans="1:9" ht="15.75" customHeight="1">
      <c r="A83" s="2">
        <v>2</v>
      </c>
      <c r="B83" s="2" t="s">
        <v>27</v>
      </c>
      <c r="C83" s="2" t="s">
        <v>28</v>
      </c>
      <c r="D83" s="2" t="s">
        <v>23</v>
      </c>
      <c r="E83" s="2" t="s">
        <v>13</v>
      </c>
      <c r="F83" s="2">
        <v>203</v>
      </c>
      <c r="G83" s="2">
        <v>21573.98</v>
      </c>
      <c r="H83" s="2">
        <v>4379519</v>
      </c>
      <c r="I83" s="2">
        <v>145</v>
      </c>
    </row>
    <row r="84" spans="1:9" ht="15.75" customHeight="1">
      <c r="A84" s="2">
        <v>2</v>
      </c>
      <c r="B84" s="2" t="s">
        <v>27</v>
      </c>
      <c r="C84" s="2" t="s">
        <v>28</v>
      </c>
      <c r="D84" s="2" t="s">
        <v>23</v>
      </c>
      <c r="E84" s="2" t="s">
        <v>14</v>
      </c>
      <c r="F84" s="2">
        <v>313</v>
      </c>
      <c r="G84" s="2">
        <v>6717.46</v>
      </c>
      <c r="H84" s="2">
        <v>2102566</v>
      </c>
      <c r="I84" s="2">
        <v>287</v>
      </c>
    </row>
    <row r="85" spans="1:9" ht="15.75" customHeight="1">
      <c r="A85" s="2">
        <v>2</v>
      </c>
      <c r="B85" s="2" t="s">
        <v>27</v>
      </c>
      <c r="C85" s="2" t="s">
        <v>28</v>
      </c>
      <c r="D85" s="2" t="s">
        <v>23</v>
      </c>
      <c r="E85" s="2" t="s">
        <v>15</v>
      </c>
      <c r="F85" s="2">
        <v>1184</v>
      </c>
      <c r="G85" s="2">
        <v>1085.7</v>
      </c>
      <c r="H85" s="2">
        <v>1285472</v>
      </c>
      <c r="I85" s="2">
        <v>1080</v>
      </c>
    </row>
    <row r="86" spans="1:9" ht="15.75" customHeight="1">
      <c r="A86" s="2">
        <v>2</v>
      </c>
      <c r="B86" s="2" t="s">
        <v>27</v>
      </c>
      <c r="C86" s="2" t="s">
        <v>28</v>
      </c>
      <c r="D86" s="2" t="s">
        <v>24</v>
      </c>
      <c r="E86" s="2" t="s">
        <v>12</v>
      </c>
      <c r="F86" s="2">
        <v>992</v>
      </c>
      <c r="G86" s="2">
        <v>5108.2</v>
      </c>
      <c r="H86" s="2">
        <v>5067333</v>
      </c>
      <c r="I86" s="2">
        <v>767</v>
      </c>
    </row>
    <row r="87" spans="1:9" ht="15.75" customHeight="1">
      <c r="A87" s="2">
        <v>2</v>
      </c>
      <c r="B87" s="2" t="s">
        <v>27</v>
      </c>
      <c r="C87" s="2" t="s">
        <v>28</v>
      </c>
      <c r="D87" s="2" t="s">
        <v>24</v>
      </c>
      <c r="E87" s="2" t="s">
        <v>13</v>
      </c>
      <c r="F87" s="2">
        <v>125</v>
      </c>
      <c r="G87" s="2">
        <v>22605.599999999999</v>
      </c>
      <c r="H87" s="2">
        <v>2825700</v>
      </c>
      <c r="I87" s="2">
        <v>112</v>
      </c>
    </row>
    <row r="88" spans="1:9" ht="15.75" customHeight="1">
      <c r="A88" s="2">
        <v>2</v>
      </c>
      <c r="B88" s="2" t="s">
        <v>27</v>
      </c>
      <c r="C88" s="2" t="s">
        <v>28</v>
      </c>
      <c r="D88" s="2" t="s">
        <v>24</v>
      </c>
      <c r="E88" s="2" t="s">
        <v>14</v>
      </c>
      <c r="F88" s="2">
        <v>212</v>
      </c>
      <c r="G88" s="2">
        <v>6345.02</v>
      </c>
      <c r="H88" s="2">
        <v>1345144</v>
      </c>
      <c r="I88" s="2">
        <v>152</v>
      </c>
    </row>
    <row r="89" spans="1:9" ht="15.75" customHeight="1">
      <c r="A89" s="2">
        <v>2</v>
      </c>
      <c r="B89" s="2" t="s">
        <v>27</v>
      </c>
      <c r="C89" s="2" t="s">
        <v>28</v>
      </c>
      <c r="D89" s="2" t="s">
        <v>24</v>
      </c>
      <c r="E89" s="2" t="s">
        <v>15</v>
      </c>
      <c r="F89" s="2">
        <v>799</v>
      </c>
      <c r="G89" s="2">
        <v>1249.5</v>
      </c>
      <c r="H89" s="2">
        <v>998350</v>
      </c>
      <c r="I89" s="2">
        <v>569</v>
      </c>
    </row>
    <row r="90" spans="1:9" ht="15.75" customHeight="1">
      <c r="A90" s="2">
        <v>2</v>
      </c>
      <c r="B90" s="2" t="s">
        <v>27</v>
      </c>
      <c r="C90" s="2" t="s">
        <v>28</v>
      </c>
      <c r="D90" s="2" t="s">
        <v>25</v>
      </c>
      <c r="E90" s="2" t="s">
        <v>12</v>
      </c>
      <c r="F90" s="2">
        <v>1070</v>
      </c>
      <c r="G90" s="2">
        <v>5313.67</v>
      </c>
      <c r="H90" s="2">
        <v>5685627</v>
      </c>
      <c r="I90" s="2">
        <v>866</v>
      </c>
    </row>
    <row r="91" spans="1:9" ht="15.75" customHeight="1">
      <c r="A91" s="2">
        <v>2</v>
      </c>
      <c r="B91" s="2" t="s">
        <v>27</v>
      </c>
      <c r="C91" s="2" t="s">
        <v>28</v>
      </c>
      <c r="D91" s="2" t="s">
        <v>25</v>
      </c>
      <c r="E91" s="2" t="s">
        <v>13</v>
      </c>
      <c r="F91" s="2">
        <v>185</v>
      </c>
      <c r="G91" s="2">
        <v>21172.47</v>
      </c>
      <c r="H91" s="2">
        <v>3916907</v>
      </c>
      <c r="I91" s="2">
        <v>144</v>
      </c>
    </row>
    <row r="92" spans="1:9" ht="15.75" customHeight="1">
      <c r="A92" s="2">
        <v>2</v>
      </c>
      <c r="B92" s="2" t="s">
        <v>27</v>
      </c>
      <c r="C92" s="2" t="s">
        <v>28</v>
      </c>
      <c r="D92" s="2" t="s">
        <v>25</v>
      </c>
      <c r="E92" s="2" t="s">
        <v>14</v>
      </c>
      <c r="F92" s="2">
        <v>385</v>
      </c>
      <c r="G92" s="2">
        <v>6163.45</v>
      </c>
      <c r="H92" s="2">
        <v>2372929</v>
      </c>
      <c r="I92" s="2">
        <v>326</v>
      </c>
    </row>
    <row r="93" spans="1:9" ht="15.75" customHeight="1">
      <c r="A93" s="2">
        <v>2</v>
      </c>
      <c r="B93" s="2" t="s">
        <v>27</v>
      </c>
      <c r="C93" s="2" t="s">
        <v>28</v>
      </c>
      <c r="D93" s="2" t="s">
        <v>25</v>
      </c>
      <c r="E93" s="2" t="s">
        <v>15</v>
      </c>
      <c r="F93" s="2">
        <v>741</v>
      </c>
      <c r="G93" s="2">
        <v>1235.73</v>
      </c>
      <c r="H93" s="2">
        <v>915676</v>
      </c>
      <c r="I93" s="2">
        <v>565</v>
      </c>
    </row>
    <row r="94" spans="1:9" ht="15.75" customHeight="1">
      <c r="A94" s="2">
        <v>2</v>
      </c>
      <c r="B94" s="2" t="s">
        <v>27</v>
      </c>
      <c r="C94" s="2" t="s">
        <v>28</v>
      </c>
      <c r="D94" s="2" t="s">
        <v>26</v>
      </c>
      <c r="E94" s="2" t="s">
        <v>12</v>
      </c>
      <c r="F94" s="2">
        <v>653</v>
      </c>
      <c r="G94" s="2">
        <v>4901.6899999999996</v>
      </c>
      <c r="H94" s="2">
        <v>3200805</v>
      </c>
      <c r="I94" s="2">
        <v>592</v>
      </c>
    </row>
    <row r="95" spans="1:9" ht="15.75" customHeight="1">
      <c r="A95" s="2">
        <v>2</v>
      </c>
      <c r="B95" s="2" t="s">
        <v>27</v>
      </c>
      <c r="C95" s="2" t="s">
        <v>28</v>
      </c>
      <c r="D95" s="2" t="s">
        <v>26</v>
      </c>
      <c r="E95" s="2" t="s">
        <v>13</v>
      </c>
      <c r="F95" s="2">
        <v>159</v>
      </c>
      <c r="G95" s="2">
        <v>21840.82</v>
      </c>
      <c r="H95" s="2">
        <v>3472690</v>
      </c>
      <c r="I95" s="2">
        <v>119</v>
      </c>
    </row>
    <row r="96" spans="1:9" ht="15.75" customHeight="1">
      <c r="A96" s="2">
        <v>2</v>
      </c>
      <c r="B96" s="2" t="s">
        <v>27</v>
      </c>
      <c r="C96" s="2" t="s">
        <v>28</v>
      </c>
      <c r="D96" s="2" t="s">
        <v>26</v>
      </c>
      <c r="E96" s="2" t="s">
        <v>14</v>
      </c>
      <c r="F96" s="2">
        <v>204</v>
      </c>
      <c r="G96" s="2">
        <v>7063.12</v>
      </c>
      <c r="H96" s="2">
        <v>1440876</v>
      </c>
      <c r="I96" s="2">
        <v>152</v>
      </c>
    </row>
    <row r="97" spans="1:9" ht="15.75" customHeight="1">
      <c r="A97" s="2">
        <v>2</v>
      </c>
      <c r="B97" s="2" t="s">
        <v>27</v>
      </c>
      <c r="C97" s="2" t="s">
        <v>28</v>
      </c>
      <c r="D97" s="2" t="s">
        <v>26</v>
      </c>
      <c r="E97" s="2" t="s">
        <v>15</v>
      </c>
      <c r="F97" s="2">
        <v>749</v>
      </c>
      <c r="G97" s="2">
        <v>1184.8800000000001</v>
      </c>
      <c r="H97" s="2">
        <v>887472</v>
      </c>
      <c r="I97" s="2">
        <v>625</v>
      </c>
    </row>
    <row r="98" spans="1:9" ht="15.75" customHeight="1">
      <c r="A98" s="2">
        <v>3</v>
      </c>
      <c r="B98" s="2" t="s">
        <v>29</v>
      </c>
      <c r="C98" s="2" t="s">
        <v>30</v>
      </c>
      <c r="D98" s="2" t="s">
        <v>11</v>
      </c>
      <c r="E98" s="2" t="s">
        <v>12</v>
      </c>
      <c r="F98" s="2">
        <v>868</v>
      </c>
      <c r="G98" s="2">
        <v>5278.56</v>
      </c>
      <c r="H98" s="2">
        <v>4581791</v>
      </c>
      <c r="I98" s="2">
        <v>701</v>
      </c>
    </row>
    <row r="99" spans="1:9" ht="15.75" customHeight="1">
      <c r="A99" s="2">
        <v>3</v>
      </c>
      <c r="B99" s="2" t="s">
        <v>29</v>
      </c>
      <c r="C99" s="2" t="s">
        <v>30</v>
      </c>
      <c r="D99" s="2" t="s">
        <v>11</v>
      </c>
      <c r="E99" s="2" t="s">
        <v>13</v>
      </c>
      <c r="F99" s="2">
        <v>157</v>
      </c>
      <c r="G99" s="2">
        <v>21111.03</v>
      </c>
      <c r="H99" s="2">
        <v>3314431</v>
      </c>
      <c r="I99" s="2">
        <v>112</v>
      </c>
    </row>
    <row r="100" spans="1:9" ht="15.75" customHeight="1">
      <c r="A100" s="2">
        <v>3</v>
      </c>
      <c r="B100" s="2" t="s">
        <v>29</v>
      </c>
      <c r="C100" s="2" t="s">
        <v>30</v>
      </c>
      <c r="D100" s="2" t="s">
        <v>11</v>
      </c>
      <c r="E100" s="2" t="s">
        <v>14</v>
      </c>
      <c r="F100" s="2">
        <v>428</v>
      </c>
      <c r="G100" s="2">
        <v>7234.39</v>
      </c>
      <c r="H100" s="2">
        <v>3096318</v>
      </c>
      <c r="I100" s="2">
        <v>305</v>
      </c>
    </row>
    <row r="101" spans="1:9" ht="15.75" customHeight="1">
      <c r="A101" s="2">
        <v>3</v>
      </c>
      <c r="B101" s="2" t="s">
        <v>29</v>
      </c>
      <c r="C101" s="2" t="s">
        <v>30</v>
      </c>
      <c r="D101" s="2" t="s">
        <v>11</v>
      </c>
      <c r="E101" s="2" t="s">
        <v>15</v>
      </c>
      <c r="F101" s="2">
        <v>1033</v>
      </c>
      <c r="G101" s="2">
        <v>1132.26</v>
      </c>
      <c r="H101" s="2">
        <v>1169623</v>
      </c>
      <c r="I101" s="2">
        <v>763</v>
      </c>
    </row>
    <row r="102" spans="1:9" ht="15.75" customHeight="1">
      <c r="A102" s="2">
        <v>3</v>
      </c>
      <c r="B102" s="2" t="s">
        <v>29</v>
      </c>
      <c r="C102" s="2" t="s">
        <v>30</v>
      </c>
      <c r="D102" s="2" t="s">
        <v>16</v>
      </c>
      <c r="E102" s="2" t="s">
        <v>12</v>
      </c>
      <c r="F102" s="2">
        <v>695</v>
      </c>
      <c r="G102" s="2">
        <v>5653.09</v>
      </c>
      <c r="H102" s="2">
        <v>3928898</v>
      </c>
      <c r="I102" s="2">
        <v>601</v>
      </c>
    </row>
    <row r="103" spans="1:9" ht="15.75" customHeight="1">
      <c r="A103" s="2">
        <v>3</v>
      </c>
      <c r="B103" s="2" t="s">
        <v>29</v>
      </c>
      <c r="C103" s="2" t="s">
        <v>30</v>
      </c>
      <c r="D103" s="2" t="s">
        <v>16</v>
      </c>
      <c r="E103" s="2" t="s">
        <v>13</v>
      </c>
      <c r="F103" s="2">
        <v>216</v>
      </c>
      <c r="G103" s="2">
        <v>21823.99</v>
      </c>
      <c r="H103" s="2">
        <v>4713981</v>
      </c>
      <c r="I103" s="2">
        <v>185</v>
      </c>
    </row>
    <row r="104" spans="1:9" ht="15.75" customHeight="1">
      <c r="A104" s="2">
        <v>3</v>
      </c>
      <c r="B104" s="2" t="s">
        <v>29</v>
      </c>
      <c r="C104" s="2" t="s">
        <v>30</v>
      </c>
      <c r="D104" s="2" t="s">
        <v>16</v>
      </c>
      <c r="E104" s="2" t="s">
        <v>14</v>
      </c>
      <c r="F104" s="2">
        <v>388</v>
      </c>
      <c r="G104" s="2">
        <v>6813.19</v>
      </c>
      <c r="H104" s="2">
        <v>2643517</v>
      </c>
      <c r="I104" s="2">
        <v>330</v>
      </c>
    </row>
    <row r="105" spans="1:9" ht="15.75" customHeight="1">
      <c r="A105" s="2">
        <v>3</v>
      </c>
      <c r="B105" s="2" t="s">
        <v>29</v>
      </c>
      <c r="C105" s="2" t="s">
        <v>30</v>
      </c>
      <c r="D105" s="2" t="s">
        <v>16</v>
      </c>
      <c r="E105" s="2" t="s">
        <v>15</v>
      </c>
      <c r="F105" s="2">
        <v>646</v>
      </c>
      <c r="G105" s="2">
        <v>1365.14</v>
      </c>
      <c r="H105" s="2">
        <v>881877</v>
      </c>
      <c r="I105" s="2">
        <v>459</v>
      </c>
    </row>
    <row r="106" spans="1:9" ht="15.75" customHeight="1">
      <c r="A106" s="2">
        <v>3</v>
      </c>
      <c r="B106" s="2" t="s">
        <v>29</v>
      </c>
      <c r="C106" s="2" t="s">
        <v>30</v>
      </c>
      <c r="D106" s="2" t="s">
        <v>17</v>
      </c>
      <c r="E106" s="2" t="s">
        <v>12</v>
      </c>
      <c r="F106" s="2">
        <v>753</v>
      </c>
      <c r="G106" s="2">
        <v>5553.38</v>
      </c>
      <c r="H106" s="2">
        <v>4181697</v>
      </c>
      <c r="I106" s="2">
        <v>529</v>
      </c>
    </row>
    <row r="107" spans="1:9" ht="15.75" customHeight="1">
      <c r="A107" s="2">
        <v>3</v>
      </c>
      <c r="B107" s="2" t="s">
        <v>29</v>
      </c>
      <c r="C107" s="2" t="s">
        <v>30</v>
      </c>
      <c r="D107" s="2" t="s">
        <v>17</v>
      </c>
      <c r="E107" s="2" t="s">
        <v>13</v>
      </c>
      <c r="F107" s="2">
        <v>168</v>
      </c>
      <c r="G107" s="2">
        <v>20933.86</v>
      </c>
      <c r="H107" s="2">
        <v>3516889</v>
      </c>
      <c r="I107" s="2">
        <v>121</v>
      </c>
    </row>
    <row r="108" spans="1:9" ht="15.75" customHeight="1">
      <c r="A108" s="2">
        <v>3</v>
      </c>
      <c r="B108" s="2" t="s">
        <v>29</v>
      </c>
      <c r="C108" s="2" t="s">
        <v>30</v>
      </c>
      <c r="D108" s="2" t="s">
        <v>17</v>
      </c>
      <c r="E108" s="2" t="s">
        <v>14</v>
      </c>
      <c r="F108" s="2">
        <v>293</v>
      </c>
      <c r="G108" s="2">
        <v>6833.15</v>
      </c>
      <c r="H108" s="2">
        <v>2002112</v>
      </c>
      <c r="I108" s="2">
        <v>239</v>
      </c>
    </row>
    <row r="109" spans="1:9" ht="15.75" customHeight="1">
      <c r="A109" s="2">
        <v>3</v>
      </c>
      <c r="B109" s="2" t="s">
        <v>29</v>
      </c>
      <c r="C109" s="2" t="s">
        <v>30</v>
      </c>
      <c r="D109" s="2" t="s">
        <v>17</v>
      </c>
      <c r="E109" s="2" t="s">
        <v>15</v>
      </c>
      <c r="F109" s="2">
        <v>617</v>
      </c>
      <c r="G109" s="2">
        <v>1277.46</v>
      </c>
      <c r="H109" s="2">
        <v>788195</v>
      </c>
      <c r="I109" s="2">
        <v>549</v>
      </c>
    </row>
    <row r="110" spans="1:9" ht="15.75" customHeight="1">
      <c r="A110" s="2">
        <v>3</v>
      </c>
      <c r="B110" s="2" t="s">
        <v>29</v>
      </c>
      <c r="C110" s="2" t="s">
        <v>30</v>
      </c>
      <c r="D110" s="2" t="s">
        <v>18</v>
      </c>
      <c r="E110" s="2" t="s">
        <v>12</v>
      </c>
      <c r="F110" s="2">
        <v>940</v>
      </c>
      <c r="G110" s="2">
        <v>5041.01</v>
      </c>
      <c r="H110" s="2">
        <v>4738551</v>
      </c>
      <c r="I110" s="2">
        <v>759</v>
      </c>
    </row>
    <row r="111" spans="1:9" ht="15.75" customHeight="1">
      <c r="A111" s="2">
        <v>3</v>
      </c>
      <c r="B111" s="2" t="s">
        <v>29</v>
      </c>
      <c r="C111" s="2" t="s">
        <v>30</v>
      </c>
      <c r="D111" s="2" t="s">
        <v>18</v>
      </c>
      <c r="E111" s="2" t="s">
        <v>13</v>
      </c>
      <c r="F111" s="2">
        <v>122</v>
      </c>
      <c r="G111" s="2">
        <v>21415.91</v>
      </c>
      <c r="H111" s="2">
        <v>2612740</v>
      </c>
      <c r="I111" s="2">
        <v>86</v>
      </c>
    </row>
    <row r="112" spans="1:9" ht="15.75" customHeight="1">
      <c r="A112" s="2">
        <v>3</v>
      </c>
      <c r="B112" s="2" t="s">
        <v>29</v>
      </c>
      <c r="C112" s="2" t="s">
        <v>30</v>
      </c>
      <c r="D112" s="2" t="s">
        <v>18</v>
      </c>
      <c r="E112" s="2" t="s">
        <v>14</v>
      </c>
      <c r="F112" s="2">
        <v>445</v>
      </c>
      <c r="G112" s="2">
        <v>6567.99</v>
      </c>
      <c r="H112" s="2">
        <v>2922754</v>
      </c>
      <c r="I112" s="2">
        <v>353</v>
      </c>
    </row>
    <row r="113" spans="1:9" ht="15.75" customHeight="1">
      <c r="A113" s="2">
        <v>3</v>
      </c>
      <c r="B113" s="2" t="s">
        <v>29</v>
      </c>
      <c r="C113" s="2" t="s">
        <v>30</v>
      </c>
      <c r="D113" s="2" t="s">
        <v>18</v>
      </c>
      <c r="E113" s="2" t="s">
        <v>15</v>
      </c>
      <c r="F113" s="2">
        <v>1161</v>
      </c>
      <c r="G113" s="2">
        <v>1213.07</v>
      </c>
      <c r="H113" s="2">
        <v>1408379</v>
      </c>
      <c r="I113" s="2">
        <v>1083</v>
      </c>
    </row>
    <row r="114" spans="1:9" ht="15.75" customHeight="1">
      <c r="A114" s="2">
        <v>3</v>
      </c>
      <c r="B114" s="2" t="s">
        <v>29</v>
      </c>
      <c r="C114" s="2" t="s">
        <v>30</v>
      </c>
      <c r="D114" s="2" t="s">
        <v>19</v>
      </c>
      <c r="E114" s="2" t="s">
        <v>12</v>
      </c>
      <c r="F114" s="2">
        <v>924</v>
      </c>
      <c r="G114" s="2">
        <v>5494.53</v>
      </c>
      <c r="H114" s="2">
        <v>5076943</v>
      </c>
      <c r="I114" s="2">
        <v>864</v>
      </c>
    </row>
    <row r="115" spans="1:9" ht="15.75" customHeight="1">
      <c r="A115" s="2">
        <v>3</v>
      </c>
      <c r="B115" s="2" t="s">
        <v>29</v>
      </c>
      <c r="C115" s="2" t="s">
        <v>30</v>
      </c>
      <c r="D115" s="2" t="s">
        <v>19</v>
      </c>
      <c r="E115" s="2" t="s">
        <v>13</v>
      </c>
      <c r="F115" s="2">
        <v>101</v>
      </c>
      <c r="G115" s="2">
        <v>22735.58</v>
      </c>
      <c r="H115" s="2">
        <v>2296294</v>
      </c>
      <c r="I115" s="2">
        <v>71</v>
      </c>
    </row>
    <row r="116" spans="1:9" ht="15.75" customHeight="1">
      <c r="A116" s="2">
        <v>3</v>
      </c>
      <c r="B116" s="2" t="s">
        <v>29</v>
      </c>
      <c r="C116" s="2" t="s">
        <v>30</v>
      </c>
      <c r="D116" s="2" t="s">
        <v>19</v>
      </c>
      <c r="E116" s="2" t="s">
        <v>14</v>
      </c>
      <c r="F116" s="2">
        <v>359</v>
      </c>
      <c r="G116" s="2">
        <v>6734.06</v>
      </c>
      <c r="H116" s="2">
        <v>2417526</v>
      </c>
      <c r="I116" s="2">
        <v>286</v>
      </c>
    </row>
    <row r="117" spans="1:9" ht="15.75" customHeight="1">
      <c r="A117" s="2">
        <v>3</v>
      </c>
      <c r="B117" s="2" t="s">
        <v>29</v>
      </c>
      <c r="C117" s="2" t="s">
        <v>30</v>
      </c>
      <c r="D117" s="2" t="s">
        <v>19</v>
      </c>
      <c r="E117" s="2" t="s">
        <v>15</v>
      </c>
      <c r="F117" s="2">
        <v>779</v>
      </c>
      <c r="G117" s="2">
        <v>1266.21</v>
      </c>
      <c r="H117" s="2">
        <v>986380</v>
      </c>
      <c r="I117" s="2">
        <v>570</v>
      </c>
    </row>
    <row r="118" spans="1:9" ht="15.75" customHeight="1">
      <c r="A118" s="2">
        <v>3</v>
      </c>
      <c r="B118" s="2" t="s">
        <v>29</v>
      </c>
      <c r="C118" s="2" t="s">
        <v>30</v>
      </c>
      <c r="D118" s="2" t="s">
        <v>20</v>
      </c>
      <c r="E118" s="2" t="s">
        <v>12</v>
      </c>
      <c r="F118" s="2">
        <v>1026</v>
      </c>
      <c r="G118" s="2">
        <v>5269.64</v>
      </c>
      <c r="H118" s="2">
        <v>5406654</v>
      </c>
      <c r="I118" s="2">
        <v>964</v>
      </c>
    </row>
    <row r="119" spans="1:9" ht="15.75" customHeight="1">
      <c r="A119" s="2">
        <v>3</v>
      </c>
      <c r="B119" s="2" t="s">
        <v>29</v>
      </c>
      <c r="C119" s="2" t="s">
        <v>30</v>
      </c>
      <c r="D119" s="2" t="s">
        <v>20</v>
      </c>
      <c r="E119" s="2" t="s">
        <v>13</v>
      </c>
      <c r="F119" s="2">
        <v>173</v>
      </c>
      <c r="G119" s="2">
        <v>21970.65</v>
      </c>
      <c r="H119" s="2">
        <v>3800923</v>
      </c>
      <c r="I119" s="2">
        <v>130</v>
      </c>
    </row>
    <row r="120" spans="1:9" ht="15.75" customHeight="1">
      <c r="A120" s="2">
        <v>3</v>
      </c>
      <c r="B120" s="2" t="s">
        <v>29</v>
      </c>
      <c r="C120" s="2" t="s">
        <v>30</v>
      </c>
      <c r="D120" s="2" t="s">
        <v>20</v>
      </c>
      <c r="E120" s="2" t="s">
        <v>14</v>
      </c>
      <c r="F120" s="2">
        <v>484</v>
      </c>
      <c r="G120" s="2">
        <v>6554.07</v>
      </c>
      <c r="H120" s="2">
        <v>3172170</v>
      </c>
      <c r="I120" s="2">
        <v>377</v>
      </c>
    </row>
    <row r="121" spans="1:9" ht="15.75" customHeight="1">
      <c r="A121" s="2">
        <v>3</v>
      </c>
      <c r="B121" s="2" t="s">
        <v>29</v>
      </c>
      <c r="C121" s="2" t="s">
        <v>30</v>
      </c>
      <c r="D121" s="2" t="s">
        <v>20</v>
      </c>
      <c r="E121" s="2" t="s">
        <v>15</v>
      </c>
      <c r="F121" s="2">
        <v>1001</v>
      </c>
      <c r="G121" s="2">
        <v>1220.76</v>
      </c>
      <c r="H121" s="2">
        <v>1221981</v>
      </c>
      <c r="I121" s="2">
        <v>785</v>
      </c>
    </row>
    <row r="122" spans="1:9" ht="15.75" customHeight="1">
      <c r="A122" s="2">
        <v>3</v>
      </c>
      <c r="B122" s="2" t="s">
        <v>29</v>
      </c>
      <c r="C122" s="2" t="s">
        <v>30</v>
      </c>
      <c r="D122" s="2" t="s">
        <v>21</v>
      </c>
      <c r="E122" s="2" t="s">
        <v>12</v>
      </c>
      <c r="F122" s="2">
        <v>714</v>
      </c>
      <c r="G122" s="2">
        <v>5175.55</v>
      </c>
      <c r="H122" s="2">
        <v>3695345</v>
      </c>
      <c r="I122" s="2">
        <v>624</v>
      </c>
    </row>
    <row r="123" spans="1:9" ht="15.75" customHeight="1">
      <c r="A123" s="2">
        <v>3</v>
      </c>
      <c r="B123" s="2" t="s">
        <v>29</v>
      </c>
      <c r="C123" s="2" t="s">
        <v>30</v>
      </c>
      <c r="D123" s="2" t="s">
        <v>21</v>
      </c>
      <c r="E123" s="2" t="s">
        <v>13</v>
      </c>
      <c r="F123" s="2">
        <v>174</v>
      </c>
      <c r="G123" s="2">
        <v>21215.61</v>
      </c>
      <c r="H123" s="2">
        <v>3691516</v>
      </c>
      <c r="I123" s="2">
        <v>159</v>
      </c>
    </row>
    <row r="124" spans="1:9" ht="15.75" customHeight="1">
      <c r="A124" s="2">
        <v>3</v>
      </c>
      <c r="B124" s="2" t="s">
        <v>29</v>
      </c>
      <c r="C124" s="2" t="s">
        <v>30</v>
      </c>
      <c r="D124" s="2" t="s">
        <v>21</v>
      </c>
      <c r="E124" s="2" t="s">
        <v>14</v>
      </c>
      <c r="F124" s="2">
        <v>416</v>
      </c>
      <c r="G124" s="2">
        <v>6511.09</v>
      </c>
      <c r="H124" s="2">
        <v>2708613</v>
      </c>
      <c r="I124" s="2">
        <v>309</v>
      </c>
    </row>
    <row r="125" spans="1:9" ht="15.75" customHeight="1">
      <c r="A125" s="2">
        <v>3</v>
      </c>
      <c r="B125" s="2" t="s">
        <v>29</v>
      </c>
      <c r="C125" s="2" t="s">
        <v>30</v>
      </c>
      <c r="D125" s="2" t="s">
        <v>21</v>
      </c>
      <c r="E125" s="2" t="s">
        <v>15</v>
      </c>
      <c r="F125" s="2">
        <v>856</v>
      </c>
      <c r="G125" s="2">
        <v>1287.68</v>
      </c>
      <c r="H125" s="2">
        <v>1102250</v>
      </c>
      <c r="I125" s="2">
        <v>720</v>
      </c>
    </row>
    <row r="126" spans="1:9" ht="15.75" customHeight="1">
      <c r="A126" s="2">
        <v>3</v>
      </c>
      <c r="B126" s="2" t="s">
        <v>29</v>
      </c>
      <c r="C126" s="2" t="s">
        <v>30</v>
      </c>
      <c r="D126" s="2" t="s">
        <v>22</v>
      </c>
      <c r="E126" s="2" t="s">
        <v>12</v>
      </c>
      <c r="F126" s="2">
        <v>698</v>
      </c>
      <c r="G126" s="2">
        <v>4942.47</v>
      </c>
      <c r="H126" s="2">
        <v>3449841</v>
      </c>
      <c r="I126" s="2">
        <v>624</v>
      </c>
    </row>
    <row r="127" spans="1:9" ht="15.75" customHeight="1">
      <c r="A127" s="2">
        <v>3</v>
      </c>
      <c r="B127" s="2" t="s">
        <v>29</v>
      </c>
      <c r="C127" s="2" t="s">
        <v>30</v>
      </c>
      <c r="D127" s="2" t="s">
        <v>22</v>
      </c>
      <c r="E127" s="2" t="s">
        <v>13</v>
      </c>
      <c r="F127" s="2">
        <v>136</v>
      </c>
      <c r="G127" s="2">
        <v>20523.54</v>
      </c>
      <c r="H127" s="2">
        <v>2791202</v>
      </c>
      <c r="I127" s="2">
        <v>103</v>
      </c>
    </row>
    <row r="128" spans="1:9" ht="15.75" customHeight="1">
      <c r="A128" s="2">
        <v>3</v>
      </c>
      <c r="B128" s="2" t="s">
        <v>29</v>
      </c>
      <c r="C128" s="2" t="s">
        <v>30</v>
      </c>
      <c r="D128" s="2" t="s">
        <v>22</v>
      </c>
      <c r="E128" s="2" t="s">
        <v>14</v>
      </c>
      <c r="F128" s="2">
        <v>382</v>
      </c>
      <c r="G128" s="2">
        <v>6947.62</v>
      </c>
      <c r="H128" s="2">
        <v>2653993</v>
      </c>
      <c r="I128" s="2">
        <v>277</v>
      </c>
    </row>
    <row r="129" spans="1:9" ht="15.75" customHeight="1">
      <c r="A129" s="2">
        <v>3</v>
      </c>
      <c r="B129" s="2" t="s">
        <v>29</v>
      </c>
      <c r="C129" s="2" t="s">
        <v>30</v>
      </c>
      <c r="D129" s="2" t="s">
        <v>22</v>
      </c>
      <c r="E129" s="2" t="s">
        <v>15</v>
      </c>
      <c r="F129" s="2">
        <v>672</v>
      </c>
      <c r="G129" s="2">
        <v>1281.3499999999999</v>
      </c>
      <c r="H129" s="2">
        <v>861068</v>
      </c>
      <c r="I129" s="2">
        <v>560</v>
      </c>
    </row>
    <row r="130" spans="1:9" ht="15.75" customHeight="1">
      <c r="A130" s="2">
        <v>3</v>
      </c>
      <c r="B130" s="2" t="s">
        <v>29</v>
      </c>
      <c r="C130" s="2" t="s">
        <v>30</v>
      </c>
      <c r="D130" s="2" t="s">
        <v>23</v>
      </c>
      <c r="E130" s="2" t="s">
        <v>12</v>
      </c>
      <c r="F130" s="2">
        <v>1195</v>
      </c>
      <c r="G130" s="2">
        <v>5195.3599999999997</v>
      </c>
      <c r="H130" s="2">
        <v>6208458</v>
      </c>
      <c r="I130" s="2">
        <v>1104</v>
      </c>
    </row>
    <row r="131" spans="1:9" ht="15.75" customHeight="1">
      <c r="A131" s="2">
        <v>3</v>
      </c>
      <c r="B131" s="2" t="s">
        <v>29</v>
      </c>
      <c r="C131" s="2" t="s">
        <v>30</v>
      </c>
      <c r="D131" s="2" t="s">
        <v>23</v>
      </c>
      <c r="E131" s="2" t="s">
        <v>13</v>
      </c>
      <c r="F131" s="2">
        <v>199</v>
      </c>
      <c r="G131" s="2">
        <v>22259.31</v>
      </c>
      <c r="H131" s="2">
        <v>4429604</v>
      </c>
      <c r="I131" s="2">
        <v>139</v>
      </c>
    </row>
    <row r="132" spans="1:9" ht="15.75" customHeight="1">
      <c r="A132" s="2">
        <v>3</v>
      </c>
      <c r="B132" s="2" t="s">
        <v>29</v>
      </c>
      <c r="C132" s="2" t="s">
        <v>30</v>
      </c>
      <c r="D132" s="2" t="s">
        <v>23</v>
      </c>
      <c r="E132" s="2" t="s">
        <v>14</v>
      </c>
      <c r="F132" s="2">
        <v>432</v>
      </c>
      <c r="G132" s="2">
        <v>6576.61</v>
      </c>
      <c r="H132" s="2">
        <v>2841097</v>
      </c>
      <c r="I132" s="2">
        <v>405</v>
      </c>
    </row>
    <row r="133" spans="1:9" ht="15.75" customHeight="1">
      <c r="A133" s="2">
        <v>3</v>
      </c>
      <c r="B133" s="2" t="s">
        <v>29</v>
      </c>
      <c r="C133" s="2" t="s">
        <v>30</v>
      </c>
      <c r="D133" s="2" t="s">
        <v>23</v>
      </c>
      <c r="E133" s="2" t="s">
        <v>15</v>
      </c>
      <c r="F133" s="2">
        <v>1134</v>
      </c>
      <c r="G133" s="2">
        <v>1298.4000000000001</v>
      </c>
      <c r="H133" s="2">
        <v>1472388</v>
      </c>
      <c r="I133" s="2">
        <v>1063</v>
      </c>
    </row>
    <row r="134" spans="1:9" ht="15.75" customHeight="1">
      <c r="A134" s="2">
        <v>3</v>
      </c>
      <c r="B134" s="2" t="s">
        <v>29</v>
      </c>
      <c r="C134" s="2" t="s">
        <v>30</v>
      </c>
      <c r="D134" s="2" t="s">
        <v>24</v>
      </c>
      <c r="E134" s="2" t="s">
        <v>12</v>
      </c>
      <c r="F134" s="2">
        <v>1105</v>
      </c>
      <c r="G134" s="2">
        <v>5136.3599999999997</v>
      </c>
      <c r="H134" s="2">
        <v>5675673</v>
      </c>
      <c r="I134" s="2">
        <v>854</v>
      </c>
    </row>
    <row r="135" spans="1:9" ht="15.75" customHeight="1">
      <c r="A135" s="2">
        <v>3</v>
      </c>
      <c r="B135" s="2" t="s">
        <v>29</v>
      </c>
      <c r="C135" s="2" t="s">
        <v>30</v>
      </c>
      <c r="D135" s="2" t="s">
        <v>24</v>
      </c>
      <c r="E135" s="2" t="s">
        <v>13</v>
      </c>
      <c r="F135" s="2">
        <v>124</v>
      </c>
      <c r="G135" s="2">
        <v>23173.91</v>
      </c>
      <c r="H135" s="2">
        <v>2873565</v>
      </c>
      <c r="I135" s="2">
        <v>103</v>
      </c>
    </row>
    <row r="136" spans="1:9" ht="15.75" customHeight="1">
      <c r="A136" s="2">
        <v>3</v>
      </c>
      <c r="B136" s="2" t="s">
        <v>29</v>
      </c>
      <c r="C136" s="2" t="s">
        <v>30</v>
      </c>
      <c r="D136" s="2" t="s">
        <v>24</v>
      </c>
      <c r="E136" s="2" t="s">
        <v>14</v>
      </c>
      <c r="F136" s="2">
        <v>252</v>
      </c>
      <c r="G136" s="2">
        <v>6887.24</v>
      </c>
      <c r="H136" s="2">
        <v>1735583</v>
      </c>
      <c r="I136" s="2">
        <v>182</v>
      </c>
    </row>
    <row r="137" spans="1:9" ht="15.75" customHeight="1">
      <c r="A137" s="2">
        <v>3</v>
      </c>
      <c r="B137" s="2" t="s">
        <v>29</v>
      </c>
      <c r="C137" s="2" t="s">
        <v>30</v>
      </c>
      <c r="D137" s="2" t="s">
        <v>24</v>
      </c>
      <c r="E137" s="2" t="s">
        <v>15</v>
      </c>
      <c r="F137" s="2">
        <v>441</v>
      </c>
      <c r="G137" s="2">
        <v>1262.83</v>
      </c>
      <c r="H137" s="2">
        <v>556910</v>
      </c>
      <c r="I137" s="2">
        <v>416</v>
      </c>
    </row>
    <row r="138" spans="1:9" ht="15.75" customHeight="1">
      <c r="A138" s="2">
        <v>3</v>
      </c>
      <c r="B138" s="2" t="s">
        <v>29</v>
      </c>
      <c r="C138" s="2" t="s">
        <v>30</v>
      </c>
      <c r="D138" s="2" t="s">
        <v>25</v>
      </c>
      <c r="E138" s="2" t="s">
        <v>12</v>
      </c>
      <c r="F138" s="2">
        <v>997</v>
      </c>
      <c r="G138" s="2">
        <v>4882</v>
      </c>
      <c r="H138" s="2">
        <v>4867350</v>
      </c>
      <c r="I138" s="2">
        <v>919</v>
      </c>
    </row>
    <row r="139" spans="1:9" ht="15.75" customHeight="1">
      <c r="A139" s="2">
        <v>3</v>
      </c>
      <c r="B139" s="2" t="s">
        <v>29</v>
      </c>
      <c r="C139" s="2" t="s">
        <v>30</v>
      </c>
      <c r="D139" s="2" t="s">
        <v>25</v>
      </c>
      <c r="E139" s="2" t="s">
        <v>13</v>
      </c>
      <c r="F139" s="2">
        <v>174</v>
      </c>
      <c r="G139" s="2">
        <v>22916.35</v>
      </c>
      <c r="H139" s="2">
        <v>3987444</v>
      </c>
      <c r="I139" s="2">
        <v>126</v>
      </c>
    </row>
    <row r="140" spans="1:9" ht="15.75" customHeight="1">
      <c r="A140" s="2">
        <v>3</v>
      </c>
      <c r="B140" s="2" t="s">
        <v>29</v>
      </c>
      <c r="C140" s="2" t="s">
        <v>30</v>
      </c>
      <c r="D140" s="2" t="s">
        <v>25</v>
      </c>
      <c r="E140" s="2" t="s">
        <v>14</v>
      </c>
      <c r="F140" s="2">
        <v>275</v>
      </c>
      <c r="G140" s="2">
        <v>6966.7</v>
      </c>
      <c r="H140" s="2">
        <v>1915841</v>
      </c>
      <c r="I140" s="2">
        <v>252</v>
      </c>
    </row>
    <row r="141" spans="1:9" ht="15.75" customHeight="1">
      <c r="A141" s="2">
        <v>3</v>
      </c>
      <c r="B141" s="2" t="s">
        <v>29</v>
      </c>
      <c r="C141" s="2" t="s">
        <v>30</v>
      </c>
      <c r="D141" s="2" t="s">
        <v>25</v>
      </c>
      <c r="E141" s="2" t="s">
        <v>15</v>
      </c>
      <c r="F141" s="2">
        <v>629</v>
      </c>
      <c r="G141" s="2">
        <v>1249.6099999999999</v>
      </c>
      <c r="H141" s="2">
        <v>786002</v>
      </c>
      <c r="I141" s="2">
        <v>453</v>
      </c>
    </row>
    <row r="142" spans="1:9" ht="15.75" customHeight="1">
      <c r="A142" s="2">
        <v>3</v>
      </c>
      <c r="B142" s="2" t="s">
        <v>29</v>
      </c>
      <c r="C142" s="2" t="s">
        <v>30</v>
      </c>
      <c r="D142" s="2" t="s">
        <v>26</v>
      </c>
      <c r="E142" s="2" t="s">
        <v>12</v>
      </c>
      <c r="F142" s="2">
        <v>767</v>
      </c>
      <c r="G142" s="2">
        <v>5205.79</v>
      </c>
      <c r="H142" s="2">
        <v>3992843</v>
      </c>
      <c r="I142" s="2">
        <v>553</v>
      </c>
    </row>
    <row r="143" spans="1:9" ht="15.75" customHeight="1">
      <c r="A143" s="2">
        <v>3</v>
      </c>
      <c r="B143" s="2" t="s">
        <v>29</v>
      </c>
      <c r="C143" s="2" t="s">
        <v>30</v>
      </c>
      <c r="D143" s="2" t="s">
        <v>26</v>
      </c>
      <c r="E143" s="2" t="s">
        <v>13</v>
      </c>
      <c r="F143" s="2">
        <v>182</v>
      </c>
      <c r="G143" s="2">
        <v>21685.64</v>
      </c>
      <c r="H143" s="2">
        <v>3946786</v>
      </c>
      <c r="I143" s="2">
        <v>153</v>
      </c>
    </row>
    <row r="144" spans="1:9" ht="15.75" customHeight="1">
      <c r="A144" s="2">
        <v>3</v>
      </c>
      <c r="B144" s="2" t="s">
        <v>29</v>
      </c>
      <c r="C144" s="2" t="s">
        <v>30</v>
      </c>
      <c r="D144" s="2" t="s">
        <v>26</v>
      </c>
      <c r="E144" s="2" t="s">
        <v>14</v>
      </c>
      <c r="F144" s="2">
        <v>344</v>
      </c>
      <c r="G144" s="2">
        <v>6500.73</v>
      </c>
      <c r="H144" s="2">
        <v>2236252</v>
      </c>
      <c r="I144" s="2">
        <v>247</v>
      </c>
    </row>
    <row r="145" spans="1:9" ht="15.75" customHeight="1">
      <c r="A145" s="2">
        <v>3</v>
      </c>
      <c r="B145" s="2" t="s">
        <v>29</v>
      </c>
      <c r="C145" s="2" t="s">
        <v>30</v>
      </c>
      <c r="D145" s="2" t="s">
        <v>26</v>
      </c>
      <c r="E145" s="2" t="s">
        <v>15</v>
      </c>
      <c r="F145" s="2">
        <v>844</v>
      </c>
      <c r="G145" s="2">
        <v>1336.01</v>
      </c>
      <c r="H145" s="2">
        <v>1127593</v>
      </c>
      <c r="I145" s="2">
        <v>670</v>
      </c>
    </row>
    <row r="146" spans="1:9" ht="15.75" customHeight="1">
      <c r="A146" s="2">
        <v>4</v>
      </c>
      <c r="B146" s="2" t="s">
        <v>31</v>
      </c>
      <c r="C146" s="2" t="s">
        <v>28</v>
      </c>
      <c r="D146" s="2" t="s">
        <v>11</v>
      </c>
      <c r="E146" s="2" t="s">
        <v>12</v>
      </c>
      <c r="F146" s="2">
        <v>766</v>
      </c>
      <c r="G146" s="2">
        <v>5471.53</v>
      </c>
      <c r="H146" s="2">
        <v>4191193</v>
      </c>
      <c r="I146" s="2">
        <v>557</v>
      </c>
    </row>
    <row r="147" spans="1:9" ht="15.75" customHeight="1">
      <c r="A147" s="2">
        <v>4</v>
      </c>
      <c r="B147" s="2" t="s">
        <v>31</v>
      </c>
      <c r="C147" s="2" t="s">
        <v>28</v>
      </c>
      <c r="D147" s="2" t="s">
        <v>11</v>
      </c>
      <c r="E147" s="2" t="s">
        <v>13</v>
      </c>
      <c r="F147" s="2">
        <v>240</v>
      </c>
      <c r="G147" s="2">
        <v>21372.05</v>
      </c>
      <c r="H147" s="2">
        <v>5129292</v>
      </c>
      <c r="I147" s="2">
        <v>192</v>
      </c>
    </row>
    <row r="148" spans="1:9" ht="15.75" customHeight="1">
      <c r="A148" s="2">
        <v>4</v>
      </c>
      <c r="B148" s="2" t="s">
        <v>31</v>
      </c>
      <c r="C148" s="2" t="s">
        <v>28</v>
      </c>
      <c r="D148" s="2" t="s">
        <v>11</v>
      </c>
      <c r="E148" s="2" t="s">
        <v>14</v>
      </c>
      <c r="F148" s="2">
        <v>325</v>
      </c>
      <c r="G148" s="2">
        <v>6796.82</v>
      </c>
      <c r="H148" s="2">
        <v>2208965</v>
      </c>
      <c r="I148" s="2">
        <v>288</v>
      </c>
    </row>
    <row r="149" spans="1:9" ht="15.75" customHeight="1">
      <c r="A149" s="2">
        <v>4</v>
      </c>
      <c r="B149" s="2" t="s">
        <v>31</v>
      </c>
      <c r="C149" s="2" t="s">
        <v>28</v>
      </c>
      <c r="D149" s="2" t="s">
        <v>11</v>
      </c>
      <c r="E149" s="2" t="s">
        <v>15</v>
      </c>
      <c r="F149" s="2">
        <v>747</v>
      </c>
      <c r="G149" s="2">
        <v>1117.28</v>
      </c>
      <c r="H149" s="2">
        <v>834606</v>
      </c>
      <c r="I149" s="2">
        <v>702</v>
      </c>
    </row>
    <row r="150" spans="1:9" ht="15.75" customHeight="1">
      <c r="A150" s="2">
        <v>4</v>
      </c>
      <c r="B150" s="2" t="s">
        <v>31</v>
      </c>
      <c r="C150" s="2" t="s">
        <v>28</v>
      </c>
      <c r="D150" s="2" t="s">
        <v>16</v>
      </c>
      <c r="E150" s="2" t="s">
        <v>12</v>
      </c>
      <c r="F150" s="2">
        <v>790</v>
      </c>
      <c r="G150" s="2">
        <v>5130.6099999999997</v>
      </c>
      <c r="H150" s="2">
        <v>4053184</v>
      </c>
      <c r="I150" s="2">
        <v>657</v>
      </c>
    </row>
    <row r="151" spans="1:9" ht="15.75" customHeight="1">
      <c r="A151" s="2">
        <v>4</v>
      </c>
      <c r="B151" s="2" t="s">
        <v>31</v>
      </c>
      <c r="C151" s="2" t="s">
        <v>28</v>
      </c>
      <c r="D151" s="2" t="s">
        <v>16</v>
      </c>
      <c r="E151" s="2" t="s">
        <v>13</v>
      </c>
      <c r="F151" s="2">
        <v>216</v>
      </c>
      <c r="G151" s="2">
        <v>21463.8</v>
      </c>
      <c r="H151" s="2">
        <v>4636181</v>
      </c>
      <c r="I151" s="2">
        <v>203</v>
      </c>
    </row>
    <row r="152" spans="1:9" ht="15.75" customHeight="1">
      <c r="A152" s="2">
        <v>4</v>
      </c>
      <c r="B152" s="2" t="s">
        <v>31</v>
      </c>
      <c r="C152" s="2" t="s">
        <v>28</v>
      </c>
      <c r="D152" s="2" t="s">
        <v>16</v>
      </c>
      <c r="E152" s="2" t="s">
        <v>14</v>
      </c>
      <c r="F152" s="2">
        <v>243</v>
      </c>
      <c r="G152" s="2">
        <v>6713.68</v>
      </c>
      <c r="H152" s="2">
        <v>1631425</v>
      </c>
      <c r="I152" s="2">
        <v>189</v>
      </c>
    </row>
    <row r="153" spans="1:9" ht="15.75" customHeight="1">
      <c r="A153" s="2">
        <v>4</v>
      </c>
      <c r="B153" s="2" t="s">
        <v>31</v>
      </c>
      <c r="C153" s="2" t="s">
        <v>28</v>
      </c>
      <c r="D153" s="2" t="s">
        <v>16</v>
      </c>
      <c r="E153" s="2" t="s">
        <v>15</v>
      </c>
      <c r="F153" s="2">
        <v>479</v>
      </c>
      <c r="G153" s="2">
        <v>1238.92</v>
      </c>
      <c r="H153" s="2">
        <v>593442</v>
      </c>
      <c r="I153" s="2">
        <v>398</v>
      </c>
    </row>
    <row r="154" spans="1:9" ht="15.75" customHeight="1">
      <c r="A154" s="2">
        <v>4</v>
      </c>
      <c r="B154" s="2" t="s">
        <v>31</v>
      </c>
      <c r="C154" s="2" t="s">
        <v>28</v>
      </c>
      <c r="D154" s="2" t="s">
        <v>17</v>
      </c>
      <c r="E154" s="2" t="s">
        <v>12</v>
      </c>
      <c r="F154" s="2">
        <v>802</v>
      </c>
      <c r="G154" s="2">
        <v>5266.39</v>
      </c>
      <c r="H154" s="2">
        <v>4223641</v>
      </c>
      <c r="I154" s="2">
        <v>700</v>
      </c>
    </row>
    <row r="155" spans="1:9" ht="15.75" customHeight="1">
      <c r="A155" s="2">
        <v>4</v>
      </c>
      <c r="B155" s="2" t="s">
        <v>31</v>
      </c>
      <c r="C155" s="2" t="s">
        <v>28</v>
      </c>
      <c r="D155" s="2" t="s">
        <v>17</v>
      </c>
      <c r="E155" s="2" t="s">
        <v>13</v>
      </c>
      <c r="F155" s="2">
        <v>245</v>
      </c>
      <c r="G155" s="2">
        <v>21728.14</v>
      </c>
      <c r="H155" s="2">
        <v>5323394</v>
      </c>
      <c r="I155" s="2">
        <v>181</v>
      </c>
    </row>
    <row r="156" spans="1:9" ht="15.75" customHeight="1">
      <c r="A156" s="2">
        <v>4</v>
      </c>
      <c r="B156" s="2" t="s">
        <v>31</v>
      </c>
      <c r="C156" s="2" t="s">
        <v>28</v>
      </c>
      <c r="D156" s="2" t="s">
        <v>17</v>
      </c>
      <c r="E156" s="2" t="s">
        <v>14</v>
      </c>
      <c r="F156" s="2">
        <v>213</v>
      </c>
      <c r="G156" s="2">
        <v>6430.83</v>
      </c>
      <c r="H156" s="2">
        <v>1369767</v>
      </c>
      <c r="I156" s="2">
        <v>188</v>
      </c>
    </row>
    <row r="157" spans="1:9" ht="15.75" customHeight="1">
      <c r="A157" s="2">
        <v>4</v>
      </c>
      <c r="B157" s="2" t="s">
        <v>31</v>
      </c>
      <c r="C157" s="2" t="s">
        <v>28</v>
      </c>
      <c r="D157" s="2" t="s">
        <v>17</v>
      </c>
      <c r="E157" s="2" t="s">
        <v>15</v>
      </c>
      <c r="F157" s="2">
        <v>411</v>
      </c>
      <c r="G157" s="2">
        <v>1352.58</v>
      </c>
      <c r="H157" s="2">
        <v>555912</v>
      </c>
      <c r="I157" s="2">
        <v>386</v>
      </c>
    </row>
    <row r="158" spans="1:9" ht="15.75" customHeight="1">
      <c r="A158" s="2">
        <v>4</v>
      </c>
      <c r="B158" s="2" t="s">
        <v>31</v>
      </c>
      <c r="C158" s="2" t="s">
        <v>28</v>
      </c>
      <c r="D158" s="2" t="s">
        <v>18</v>
      </c>
      <c r="E158" s="2" t="s">
        <v>12</v>
      </c>
      <c r="F158" s="2">
        <v>957</v>
      </c>
      <c r="G158" s="2">
        <v>5737.96</v>
      </c>
      <c r="H158" s="2">
        <v>5491228</v>
      </c>
      <c r="I158" s="2">
        <v>736</v>
      </c>
    </row>
    <row r="159" spans="1:9" ht="15.75" customHeight="1">
      <c r="A159" s="2">
        <v>4</v>
      </c>
      <c r="B159" s="2" t="s">
        <v>31</v>
      </c>
      <c r="C159" s="2" t="s">
        <v>28</v>
      </c>
      <c r="D159" s="2" t="s">
        <v>18</v>
      </c>
      <c r="E159" s="2" t="s">
        <v>13</v>
      </c>
      <c r="F159" s="2">
        <v>191</v>
      </c>
      <c r="G159" s="2">
        <v>20853.36</v>
      </c>
      <c r="H159" s="2">
        <v>3982992</v>
      </c>
      <c r="I159" s="2">
        <v>164</v>
      </c>
    </row>
    <row r="160" spans="1:9" ht="15.75" customHeight="1">
      <c r="A160" s="2">
        <v>4</v>
      </c>
      <c r="B160" s="2" t="s">
        <v>31</v>
      </c>
      <c r="C160" s="2" t="s">
        <v>28</v>
      </c>
      <c r="D160" s="2" t="s">
        <v>18</v>
      </c>
      <c r="E160" s="2" t="s">
        <v>14</v>
      </c>
      <c r="F160" s="2">
        <v>335</v>
      </c>
      <c r="G160" s="2">
        <v>7009.78</v>
      </c>
      <c r="H160" s="2">
        <v>2348276</v>
      </c>
      <c r="I160" s="2">
        <v>241</v>
      </c>
    </row>
    <row r="161" spans="1:9" ht="15.75" customHeight="1">
      <c r="A161" s="2">
        <v>4</v>
      </c>
      <c r="B161" s="2" t="s">
        <v>31</v>
      </c>
      <c r="C161" s="2" t="s">
        <v>28</v>
      </c>
      <c r="D161" s="2" t="s">
        <v>18</v>
      </c>
      <c r="E161" s="2" t="s">
        <v>15</v>
      </c>
      <c r="F161" s="2">
        <v>440</v>
      </c>
      <c r="G161" s="2">
        <v>1018.99</v>
      </c>
      <c r="H161" s="2">
        <v>448354</v>
      </c>
      <c r="I161" s="2">
        <v>336</v>
      </c>
    </row>
    <row r="162" spans="1:9" ht="15.75" customHeight="1">
      <c r="A162" s="2">
        <v>4</v>
      </c>
      <c r="B162" s="2" t="s">
        <v>31</v>
      </c>
      <c r="C162" s="2" t="s">
        <v>28</v>
      </c>
      <c r="D162" s="2" t="s">
        <v>19</v>
      </c>
      <c r="E162" s="2" t="s">
        <v>12</v>
      </c>
      <c r="F162" s="2">
        <v>1101</v>
      </c>
      <c r="G162" s="2">
        <v>5645.55</v>
      </c>
      <c r="H162" s="2">
        <v>6215750</v>
      </c>
      <c r="I162" s="2">
        <v>845</v>
      </c>
    </row>
    <row r="163" spans="1:9" ht="15.75" customHeight="1">
      <c r="A163" s="2">
        <v>4</v>
      </c>
      <c r="B163" s="2" t="s">
        <v>31</v>
      </c>
      <c r="C163" s="2" t="s">
        <v>28</v>
      </c>
      <c r="D163" s="2" t="s">
        <v>19</v>
      </c>
      <c r="E163" s="2" t="s">
        <v>13</v>
      </c>
      <c r="F163" s="2">
        <v>240</v>
      </c>
      <c r="G163" s="2">
        <v>20305.919999999998</v>
      </c>
      <c r="H163" s="2">
        <v>4873421</v>
      </c>
      <c r="I163" s="2">
        <v>222</v>
      </c>
    </row>
    <row r="164" spans="1:9" ht="15.75" customHeight="1">
      <c r="A164" s="2">
        <v>4</v>
      </c>
      <c r="B164" s="2" t="s">
        <v>31</v>
      </c>
      <c r="C164" s="2" t="s">
        <v>28</v>
      </c>
      <c r="D164" s="2" t="s">
        <v>19</v>
      </c>
      <c r="E164" s="2" t="s">
        <v>14</v>
      </c>
      <c r="F164" s="2">
        <v>452</v>
      </c>
      <c r="G164" s="2">
        <v>6663.16</v>
      </c>
      <c r="H164" s="2">
        <v>3011750</v>
      </c>
      <c r="I164" s="2">
        <v>382</v>
      </c>
    </row>
    <row r="165" spans="1:9" ht="15.75" customHeight="1">
      <c r="A165" s="2">
        <v>4</v>
      </c>
      <c r="B165" s="2" t="s">
        <v>31</v>
      </c>
      <c r="C165" s="2" t="s">
        <v>28</v>
      </c>
      <c r="D165" s="2" t="s">
        <v>19</v>
      </c>
      <c r="E165" s="2" t="s">
        <v>15</v>
      </c>
      <c r="F165" s="2">
        <v>849</v>
      </c>
      <c r="G165" s="2">
        <v>1264.8900000000001</v>
      </c>
      <c r="H165" s="2">
        <v>1073891</v>
      </c>
      <c r="I165" s="2">
        <v>611</v>
      </c>
    </row>
    <row r="166" spans="1:9" ht="15.75" customHeight="1">
      <c r="A166" s="2">
        <v>4</v>
      </c>
      <c r="B166" s="2" t="s">
        <v>31</v>
      </c>
      <c r="C166" s="2" t="s">
        <v>28</v>
      </c>
      <c r="D166" s="2" t="s">
        <v>20</v>
      </c>
      <c r="E166" s="2" t="s">
        <v>12</v>
      </c>
      <c r="F166" s="2">
        <v>841</v>
      </c>
      <c r="G166" s="2">
        <v>5053.6499999999996</v>
      </c>
      <c r="H166" s="2">
        <v>4250123</v>
      </c>
      <c r="I166" s="2">
        <v>675</v>
      </c>
    </row>
    <row r="167" spans="1:9" ht="15.75" customHeight="1">
      <c r="A167" s="2">
        <v>4</v>
      </c>
      <c r="B167" s="2" t="s">
        <v>31</v>
      </c>
      <c r="C167" s="2" t="s">
        <v>28</v>
      </c>
      <c r="D167" s="2" t="s">
        <v>20</v>
      </c>
      <c r="E167" s="2" t="s">
        <v>13</v>
      </c>
      <c r="F167" s="2">
        <v>217</v>
      </c>
      <c r="G167" s="2">
        <v>21651.67</v>
      </c>
      <c r="H167" s="2">
        <v>4698412</v>
      </c>
      <c r="I167" s="2">
        <v>195</v>
      </c>
    </row>
    <row r="168" spans="1:9" ht="15.75" customHeight="1">
      <c r="A168" s="2">
        <v>4</v>
      </c>
      <c r="B168" s="2" t="s">
        <v>31</v>
      </c>
      <c r="C168" s="2" t="s">
        <v>28</v>
      </c>
      <c r="D168" s="2" t="s">
        <v>20</v>
      </c>
      <c r="E168" s="2" t="s">
        <v>14</v>
      </c>
      <c r="F168" s="2">
        <v>423</v>
      </c>
      <c r="G168" s="2">
        <v>6515.26</v>
      </c>
      <c r="H168" s="2">
        <v>2755957</v>
      </c>
      <c r="I168" s="2">
        <v>383</v>
      </c>
    </row>
    <row r="169" spans="1:9" ht="15.75" customHeight="1">
      <c r="A169" s="2">
        <v>4</v>
      </c>
      <c r="B169" s="2" t="s">
        <v>31</v>
      </c>
      <c r="C169" s="2" t="s">
        <v>28</v>
      </c>
      <c r="D169" s="2" t="s">
        <v>20</v>
      </c>
      <c r="E169" s="2" t="s">
        <v>15</v>
      </c>
      <c r="F169" s="2">
        <v>1088</v>
      </c>
      <c r="G169" s="2">
        <v>1343.62</v>
      </c>
      <c r="H169" s="2">
        <v>1461857</v>
      </c>
      <c r="I169" s="2">
        <v>989</v>
      </c>
    </row>
    <row r="170" spans="1:9" ht="15.75" customHeight="1">
      <c r="A170" s="2">
        <v>4</v>
      </c>
      <c r="B170" s="2" t="s">
        <v>31</v>
      </c>
      <c r="C170" s="2" t="s">
        <v>28</v>
      </c>
      <c r="D170" s="2" t="s">
        <v>21</v>
      </c>
      <c r="E170" s="2" t="s">
        <v>12</v>
      </c>
      <c r="F170" s="2">
        <v>704</v>
      </c>
      <c r="G170" s="2">
        <v>4981.1099999999997</v>
      </c>
      <c r="H170" s="2">
        <v>3506705</v>
      </c>
      <c r="I170" s="2">
        <v>502</v>
      </c>
    </row>
    <row r="171" spans="1:9" ht="15.75" customHeight="1">
      <c r="A171" s="2">
        <v>4</v>
      </c>
      <c r="B171" s="2" t="s">
        <v>31</v>
      </c>
      <c r="C171" s="2" t="s">
        <v>28</v>
      </c>
      <c r="D171" s="2" t="s">
        <v>21</v>
      </c>
      <c r="E171" s="2" t="s">
        <v>13</v>
      </c>
      <c r="F171" s="2">
        <v>105</v>
      </c>
      <c r="G171" s="2">
        <v>21020.5</v>
      </c>
      <c r="H171" s="2">
        <v>2207152</v>
      </c>
      <c r="I171" s="2">
        <v>91</v>
      </c>
    </row>
    <row r="172" spans="1:9" ht="15.75" customHeight="1">
      <c r="A172" s="2">
        <v>4</v>
      </c>
      <c r="B172" s="2" t="s">
        <v>31</v>
      </c>
      <c r="C172" s="2" t="s">
        <v>28</v>
      </c>
      <c r="D172" s="2" t="s">
        <v>21</v>
      </c>
      <c r="E172" s="2" t="s">
        <v>14</v>
      </c>
      <c r="F172" s="2">
        <v>396</v>
      </c>
      <c r="G172" s="2">
        <v>7154.87</v>
      </c>
      <c r="H172" s="2">
        <v>2833329</v>
      </c>
      <c r="I172" s="2">
        <v>370</v>
      </c>
    </row>
    <row r="173" spans="1:9" ht="15.75" customHeight="1">
      <c r="A173" s="2">
        <v>4</v>
      </c>
      <c r="B173" s="2" t="s">
        <v>31</v>
      </c>
      <c r="C173" s="2" t="s">
        <v>28</v>
      </c>
      <c r="D173" s="2" t="s">
        <v>21</v>
      </c>
      <c r="E173" s="2" t="s">
        <v>15</v>
      </c>
      <c r="F173" s="2">
        <v>857</v>
      </c>
      <c r="G173" s="2">
        <v>1231.25</v>
      </c>
      <c r="H173" s="2">
        <v>1055178</v>
      </c>
      <c r="I173" s="2">
        <v>680</v>
      </c>
    </row>
    <row r="174" spans="1:9" ht="15.75" customHeight="1">
      <c r="A174" s="2">
        <v>4</v>
      </c>
      <c r="B174" s="2" t="s">
        <v>31</v>
      </c>
      <c r="C174" s="2" t="s">
        <v>28</v>
      </c>
      <c r="D174" s="2" t="s">
        <v>22</v>
      </c>
      <c r="E174" s="2" t="s">
        <v>12</v>
      </c>
      <c r="F174" s="2">
        <v>684</v>
      </c>
      <c r="G174" s="2">
        <v>5086.4799999999996</v>
      </c>
      <c r="H174" s="2">
        <v>3479150</v>
      </c>
      <c r="I174" s="2">
        <v>641</v>
      </c>
    </row>
    <row r="175" spans="1:9" ht="15.75" customHeight="1">
      <c r="A175" s="2">
        <v>4</v>
      </c>
      <c r="B175" s="2" t="s">
        <v>31</v>
      </c>
      <c r="C175" s="2" t="s">
        <v>28</v>
      </c>
      <c r="D175" s="2" t="s">
        <v>22</v>
      </c>
      <c r="E175" s="2" t="s">
        <v>13</v>
      </c>
      <c r="F175" s="2">
        <v>103</v>
      </c>
      <c r="G175" s="2">
        <v>21386.1</v>
      </c>
      <c r="H175" s="2">
        <v>2202768</v>
      </c>
      <c r="I175" s="2">
        <v>77</v>
      </c>
    </row>
    <row r="176" spans="1:9" ht="15.75" customHeight="1">
      <c r="A176" s="2">
        <v>4</v>
      </c>
      <c r="B176" s="2" t="s">
        <v>31</v>
      </c>
      <c r="C176" s="2" t="s">
        <v>28</v>
      </c>
      <c r="D176" s="2" t="s">
        <v>22</v>
      </c>
      <c r="E176" s="2" t="s">
        <v>14</v>
      </c>
      <c r="F176" s="2">
        <v>487</v>
      </c>
      <c r="G176" s="2">
        <v>6699.51</v>
      </c>
      <c r="H176" s="2">
        <v>3262661</v>
      </c>
      <c r="I176" s="2">
        <v>398</v>
      </c>
    </row>
    <row r="177" spans="1:9" ht="15.75" customHeight="1">
      <c r="A177" s="2">
        <v>4</v>
      </c>
      <c r="B177" s="2" t="s">
        <v>31</v>
      </c>
      <c r="C177" s="2" t="s">
        <v>28</v>
      </c>
      <c r="D177" s="2" t="s">
        <v>22</v>
      </c>
      <c r="E177" s="2" t="s">
        <v>15</v>
      </c>
      <c r="F177" s="2">
        <v>1170</v>
      </c>
      <c r="G177" s="2">
        <v>1157.4000000000001</v>
      </c>
      <c r="H177" s="2">
        <v>1354154</v>
      </c>
      <c r="I177" s="2">
        <v>971</v>
      </c>
    </row>
    <row r="178" spans="1:9" ht="15.75" customHeight="1">
      <c r="A178" s="2">
        <v>4</v>
      </c>
      <c r="B178" s="2" t="s">
        <v>31</v>
      </c>
      <c r="C178" s="2" t="s">
        <v>28</v>
      </c>
      <c r="D178" s="2" t="s">
        <v>23</v>
      </c>
      <c r="E178" s="2" t="s">
        <v>12</v>
      </c>
      <c r="F178" s="2">
        <v>867</v>
      </c>
      <c r="G178" s="2">
        <v>5187.3500000000004</v>
      </c>
      <c r="H178" s="2">
        <v>4497431</v>
      </c>
      <c r="I178" s="2">
        <v>698</v>
      </c>
    </row>
    <row r="179" spans="1:9" ht="15.75" customHeight="1">
      <c r="A179" s="2">
        <v>4</v>
      </c>
      <c r="B179" s="2" t="s">
        <v>31</v>
      </c>
      <c r="C179" s="2" t="s">
        <v>28</v>
      </c>
      <c r="D179" s="2" t="s">
        <v>23</v>
      </c>
      <c r="E179" s="2" t="s">
        <v>13</v>
      </c>
      <c r="F179" s="2">
        <v>184</v>
      </c>
      <c r="G179" s="2">
        <v>23531.41</v>
      </c>
      <c r="H179" s="2">
        <v>4329779</v>
      </c>
      <c r="I179" s="2">
        <v>158</v>
      </c>
    </row>
    <row r="180" spans="1:9" ht="15.75" customHeight="1">
      <c r="A180" s="2">
        <v>4</v>
      </c>
      <c r="B180" s="2" t="s">
        <v>31</v>
      </c>
      <c r="C180" s="2" t="s">
        <v>28</v>
      </c>
      <c r="D180" s="2" t="s">
        <v>23</v>
      </c>
      <c r="E180" s="2" t="s">
        <v>14</v>
      </c>
      <c r="F180" s="2">
        <v>274</v>
      </c>
      <c r="G180" s="2">
        <v>6569.9</v>
      </c>
      <c r="H180" s="2">
        <v>1800154</v>
      </c>
      <c r="I180" s="2">
        <v>192</v>
      </c>
    </row>
    <row r="181" spans="1:9" ht="15.75" customHeight="1">
      <c r="A181" s="2">
        <v>4</v>
      </c>
      <c r="B181" s="2" t="s">
        <v>31</v>
      </c>
      <c r="C181" s="2" t="s">
        <v>28</v>
      </c>
      <c r="D181" s="2" t="s">
        <v>23</v>
      </c>
      <c r="E181" s="2" t="s">
        <v>15</v>
      </c>
      <c r="F181" s="2">
        <v>705</v>
      </c>
      <c r="G181" s="2">
        <v>1165.77</v>
      </c>
      <c r="H181" s="2">
        <v>821867</v>
      </c>
      <c r="I181" s="2">
        <v>597</v>
      </c>
    </row>
    <row r="182" spans="1:9" ht="15.75" customHeight="1">
      <c r="A182" s="2">
        <v>4</v>
      </c>
      <c r="B182" s="2" t="s">
        <v>31</v>
      </c>
      <c r="C182" s="2" t="s">
        <v>28</v>
      </c>
      <c r="D182" s="2" t="s">
        <v>24</v>
      </c>
      <c r="E182" s="2" t="s">
        <v>12</v>
      </c>
      <c r="F182" s="2">
        <v>934</v>
      </c>
      <c r="G182" s="2">
        <v>5477.21</v>
      </c>
      <c r="H182" s="2">
        <v>5115717</v>
      </c>
      <c r="I182" s="2">
        <v>735</v>
      </c>
    </row>
    <row r="183" spans="1:9" ht="15.75" customHeight="1">
      <c r="A183" s="2">
        <v>4</v>
      </c>
      <c r="B183" s="2" t="s">
        <v>31</v>
      </c>
      <c r="C183" s="2" t="s">
        <v>28</v>
      </c>
      <c r="D183" s="2" t="s">
        <v>24</v>
      </c>
      <c r="E183" s="2" t="s">
        <v>13</v>
      </c>
      <c r="F183" s="2">
        <v>178</v>
      </c>
      <c r="G183" s="2">
        <v>21390.34</v>
      </c>
      <c r="H183" s="2">
        <v>3807480</v>
      </c>
      <c r="I183" s="2">
        <v>142</v>
      </c>
    </row>
    <row r="184" spans="1:9" ht="15.75" customHeight="1">
      <c r="A184" s="2">
        <v>4</v>
      </c>
      <c r="B184" s="2" t="s">
        <v>31</v>
      </c>
      <c r="C184" s="2" t="s">
        <v>28</v>
      </c>
      <c r="D184" s="2" t="s">
        <v>24</v>
      </c>
      <c r="E184" s="2" t="s">
        <v>14</v>
      </c>
      <c r="F184" s="2">
        <v>446</v>
      </c>
      <c r="G184" s="2">
        <v>7271.77</v>
      </c>
      <c r="H184" s="2">
        <v>3243210</v>
      </c>
      <c r="I184" s="2">
        <v>401</v>
      </c>
    </row>
    <row r="185" spans="1:9" ht="15.75" customHeight="1">
      <c r="A185" s="2">
        <v>4</v>
      </c>
      <c r="B185" s="2" t="s">
        <v>31</v>
      </c>
      <c r="C185" s="2" t="s">
        <v>28</v>
      </c>
      <c r="D185" s="2" t="s">
        <v>24</v>
      </c>
      <c r="E185" s="2" t="s">
        <v>15</v>
      </c>
      <c r="F185" s="2">
        <v>537</v>
      </c>
      <c r="G185" s="2">
        <v>1222.76</v>
      </c>
      <c r="H185" s="2">
        <v>656622</v>
      </c>
      <c r="I185" s="2">
        <v>500</v>
      </c>
    </row>
    <row r="186" spans="1:9" ht="15.75" customHeight="1">
      <c r="A186" s="2">
        <v>4</v>
      </c>
      <c r="B186" s="2" t="s">
        <v>31</v>
      </c>
      <c r="C186" s="2" t="s">
        <v>28</v>
      </c>
      <c r="D186" s="2" t="s">
        <v>25</v>
      </c>
      <c r="E186" s="2" t="s">
        <v>12</v>
      </c>
      <c r="F186" s="2">
        <v>929</v>
      </c>
      <c r="G186" s="2">
        <v>5325.61</v>
      </c>
      <c r="H186" s="2">
        <v>4947490</v>
      </c>
      <c r="I186" s="2">
        <v>730</v>
      </c>
    </row>
    <row r="187" spans="1:9" ht="15.75" customHeight="1">
      <c r="A187" s="2">
        <v>4</v>
      </c>
      <c r="B187" s="2" t="s">
        <v>31</v>
      </c>
      <c r="C187" s="2" t="s">
        <v>28</v>
      </c>
      <c r="D187" s="2" t="s">
        <v>25</v>
      </c>
      <c r="E187" s="2" t="s">
        <v>13</v>
      </c>
      <c r="F187" s="2">
        <v>225</v>
      </c>
      <c r="G187" s="2">
        <v>21114.93</v>
      </c>
      <c r="H187" s="2">
        <v>4750859</v>
      </c>
      <c r="I187" s="2">
        <v>193</v>
      </c>
    </row>
    <row r="188" spans="1:9" ht="15.75" customHeight="1">
      <c r="A188" s="2">
        <v>4</v>
      </c>
      <c r="B188" s="2" t="s">
        <v>31</v>
      </c>
      <c r="C188" s="2" t="s">
        <v>28</v>
      </c>
      <c r="D188" s="2" t="s">
        <v>25</v>
      </c>
      <c r="E188" s="2" t="s">
        <v>14</v>
      </c>
      <c r="F188" s="2">
        <v>439</v>
      </c>
      <c r="G188" s="2">
        <v>6845.53</v>
      </c>
      <c r="H188" s="2">
        <v>3005187</v>
      </c>
      <c r="I188" s="2">
        <v>357</v>
      </c>
    </row>
    <row r="189" spans="1:9" ht="15.75" customHeight="1">
      <c r="A189" s="2">
        <v>4</v>
      </c>
      <c r="B189" s="2" t="s">
        <v>31</v>
      </c>
      <c r="C189" s="2" t="s">
        <v>28</v>
      </c>
      <c r="D189" s="2" t="s">
        <v>25</v>
      </c>
      <c r="E189" s="2" t="s">
        <v>15</v>
      </c>
      <c r="F189" s="2">
        <v>494</v>
      </c>
      <c r="G189" s="2">
        <v>993.75</v>
      </c>
      <c r="H189" s="2">
        <v>490911</v>
      </c>
      <c r="I189" s="2">
        <v>395</v>
      </c>
    </row>
    <row r="190" spans="1:9" ht="15.75" customHeight="1">
      <c r="A190" s="2">
        <v>4</v>
      </c>
      <c r="B190" s="2" t="s">
        <v>31</v>
      </c>
      <c r="C190" s="2" t="s">
        <v>28</v>
      </c>
      <c r="D190" s="2" t="s">
        <v>26</v>
      </c>
      <c r="E190" s="2" t="s">
        <v>12</v>
      </c>
      <c r="F190" s="2">
        <v>1119</v>
      </c>
      <c r="G190" s="2">
        <v>5412.05</v>
      </c>
      <c r="H190" s="2">
        <v>6056079</v>
      </c>
      <c r="I190" s="2">
        <v>898</v>
      </c>
    </row>
    <row r="191" spans="1:9" ht="15.75" customHeight="1">
      <c r="A191" s="2">
        <v>4</v>
      </c>
      <c r="B191" s="2" t="s">
        <v>31</v>
      </c>
      <c r="C191" s="2" t="s">
        <v>28</v>
      </c>
      <c r="D191" s="2" t="s">
        <v>26</v>
      </c>
      <c r="E191" s="2" t="s">
        <v>13</v>
      </c>
      <c r="F191" s="2">
        <v>195</v>
      </c>
      <c r="G191" s="2">
        <v>20770.3</v>
      </c>
      <c r="H191" s="2">
        <v>4050208</v>
      </c>
      <c r="I191" s="2">
        <v>159</v>
      </c>
    </row>
    <row r="192" spans="1:9" ht="15.75" customHeight="1">
      <c r="A192" s="2">
        <v>4</v>
      </c>
      <c r="B192" s="2" t="s">
        <v>31</v>
      </c>
      <c r="C192" s="2" t="s">
        <v>28</v>
      </c>
      <c r="D192" s="2" t="s">
        <v>26</v>
      </c>
      <c r="E192" s="2" t="s">
        <v>14</v>
      </c>
      <c r="F192" s="2">
        <v>292</v>
      </c>
      <c r="G192" s="2">
        <v>6722.81</v>
      </c>
      <c r="H192" s="2">
        <v>1963062</v>
      </c>
      <c r="I192" s="2">
        <v>220</v>
      </c>
    </row>
    <row r="193" spans="1:9" ht="15.75" customHeight="1">
      <c r="A193" s="2">
        <v>4</v>
      </c>
      <c r="B193" s="2" t="s">
        <v>31</v>
      </c>
      <c r="C193" s="2" t="s">
        <v>28</v>
      </c>
      <c r="D193" s="2" t="s">
        <v>26</v>
      </c>
      <c r="E193" s="2" t="s">
        <v>15</v>
      </c>
      <c r="F193" s="2">
        <v>1188</v>
      </c>
      <c r="G193" s="2">
        <v>1235.3</v>
      </c>
      <c r="H193" s="2">
        <v>1467532</v>
      </c>
      <c r="I193" s="2">
        <v>881</v>
      </c>
    </row>
    <row r="194" spans="1:9" ht="15.75" customHeight="1">
      <c r="A194" s="2">
        <v>5</v>
      </c>
      <c r="B194" s="2" t="s">
        <v>32</v>
      </c>
      <c r="C194" s="2" t="s">
        <v>28</v>
      </c>
      <c r="D194" s="2" t="s">
        <v>11</v>
      </c>
      <c r="E194" s="2" t="s">
        <v>12</v>
      </c>
      <c r="F194" s="2">
        <v>1133</v>
      </c>
      <c r="G194" s="2">
        <v>5013.18</v>
      </c>
      <c r="H194" s="2">
        <v>5679935</v>
      </c>
      <c r="I194" s="2">
        <v>896</v>
      </c>
    </row>
    <row r="195" spans="1:9" ht="15.75" customHeight="1">
      <c r="A195" s="2">
        <v>5</v>
      </c>
      <c r="B195" s="2" t="s">
        <v>32</v>
      </c>
      <c r="C195" s="2" t="s">
        <v>28</v>
      </c>
      <c r="D195" s="2" t="s">
        <v>11</v>
      </c>
      <c r="E195" s="2" t="s">
        <v>13</v>
      </c>
      <c r="F195" s="2">
        <v>177</v>
      </c>
      <c r="G195" s="2">
        <v>21346.77</v>
      </c>
      <c r="H195" s="2">
        <v>3778379</v>
      </c>
      <c r="I195" s="2">
        <v>138</v>
      </c>
    </row>
    <row r="196" spans="1:9" ht="15.75" customHeight="1">
      <c r="A196" s="2">
        <v>5</v>
      </c>
      <c r="B196" s="2" t="s">
        <v>32</v>
      </c>
      <c r="C196" s="2" t="s">
        <v>28</v>
      </c>
      <c r="D196" s="2" t="s">
        <v>11</v>
      </c>
      <c r="E196" s="2" t="s">
        <v>14</v>
      </c>
      <c r="F196" s="2">
        <v>272</v>
      </c>
      <c r="G196" s="2">
        <v>6687.51</v>
      </c>
      <c r="H196" s="2">
        <v>1819003</v>
      </c>
      <c r="I196" s="2">
        <v>237</v>
      </c>
    </row>
    <row r="197" spans="1:9" ht="15.75" customHeight="1">
      <c r="A197" s="2">
        <v>5</v>
      </c>
      <c r="B197" s="2" t="s">
        <v>32</v>
      </c>
      <c r="C197" s="2" t="s">
        <v>28</v>
      </c>
      <c r="D197" s="2" t="s">
        <v>11</v>
      </c>
      <c r="E197" s="2" t="s">
        <v>15</v>
      </c>
      <c r="F197" s="2">
        <v>455</v>
      </c>
      <c r="G197" s="2">
        <v>1109.99</v>
      </c>
      <c r="H197" s="2">
        <v>505045</v>
      </c>
      <c r="I197" s="2">
        <v>417</v>
      </c>
    </row>
    <row r="198" spans="1:9" ht="15.75" customHeight="1">
      <c r="A198" s="2">
        <v>5</v>
      </c>
      <c r="B198" s="2" t="s">
        <v>32</v>
      </c>
      <c r="C198" s="2" t="s">
        <v>28</v>
      </c>
      <c r="D198" s="2" t="s">
        <v>16</v>
      </c>
      <c r="E198" s="2" t="s">
        <v>12</v>
      </c>
      <c r="F198" s="2">
        <v>647</v>
      </c>
      <c r="G198" s="2">
        <v>5277.53</v>
      </c>
      <c r="H198" s="2">
        <v>3414565</v>
      </c>
      <c r="I198" s="2">
        <v>583</v>
      </c>
    </row>
    <row r="199" spans="1:9" ht="15.75" customHeight="1">
      <c r="A199" s="2">
        <v>5</v>
      </c>
      <c r="B199" s="2" t="s">
        <v>32</v>
      </c>
      <c r="C199" s="2" t="s">
        <v>28</v>
      </c>
      <c r="D199" s="2" t="s">
        <v>16</v>
      </c>
      <c r="E199" s="2" t="s">
        <v>13</v>
      </c>
      <c r="F199" s="2">
        <v>212</v>
      </c>
      <c r="G199" s="2">
        <v>21323.22</v>
      </c>
      <c r="H199" s="2">
        <v>4520524</v>
      </c>
      <c r="I199" s="2">
        <v>180</v>
      </c>
    </row>
    <row r="200" spans="1:9" ht="15.75" customHeight="1">
      <c r="A200" s="2">
        <v>5</v>
      </c>
      <c r="B200" s="2" t="s">
        <v>32</v>
      </c>
      <c r="C200" s="2" t="s">
        <v>28</v>
      </c>
      <c r="D200" s="2" t="s">
        <v>16</v>
      </c>
      <c r="E200" s="2" t="s">
        <v>14</v>
      </c>
      <c r="F200" s="2">
        <v>379</v>
      </c>
      <c r="G200" s="2">
        <v>6535.82</v>
      </c>
      <c r="H200" s="2">
        <v>2477074</v>
      </c>
      <c r="I200" s="2">
        <v>311</v>
      </c>
    </row>
    <row r="201" spans="1:9" ht="15.75" customHeight="1">
      <c r="A201" s="2">
        <v>5</v>
      </c>
      <c r="B201" s="2" t="s">
        <v>32</v>
      </c>
      <c r="C201" s="2" t="s">
        <v>28</v>
      </c>
      <c r="D201" s="2" t="s">
        <v>16</v>
      </c>
      <c r="E201" s="2" t="s">
        <v>15</v>
      </c>
      <c r="F201" s="2">
        <v>873</v>
      </c>
      <c r="G201" s="2">
        <v>1077.19</v>
      </c>
      <c r="H201" s="2">
        <v>940391</v>
      </c>
      <c r="I201" s="2">
        <v>776</v>
      </c>
    </row>
    <row r="202" spans="1:9" ht="15.75" customHeight="1">
      <c r="A202" s="2">
        <v>5</v>
      </c>
      <c r="B202" s="2" t="s">
        <v>32</v>
      </c>
      <c r="C202" s="2" t="s">
        <v>28</v>
      </c>
      <c r="D202" s="2" t="s">
        <v>17</v>
      </c>
      <c r="E202" s="2" t="s">
        <v>12</v>
      </c>
      <c r="F202" s="2">
        <v>677</v>
      </c>
      <c r="G202" s="2">
        <v>5628.99</v>
      </c>
      <c r="H202" s="2">
        <v>3810829</v>
      </c>
      <c r="I202" s="2">
        <v>480</v>
      </c>
    </row>
    <row r="203" spans="1:9" ht="15.75" customHeight="1">
      <c r="A203" s="2">
        <v>5</v>
      </c>
      <c r="B203" s="2" t="s">
        <v>32</v>
      </c>
      <c r="C203" s="2" t="s">
        <v>28</v>
      </c>
      <c r="D203" s="2" t="s">
        <v>17</v>
      </c>
      <c r="E203" s="2" t="s">
        <v>13</v>
      </c>
      <c r="F203" s="2">
        <v>155</v>
      </c>
      <c r="G203" s="2">
        <v>21300.77</v>
      </c>
      <c r="H203" s="2">
        <v>3301620</v>
      </c>
      <c r="I203" s="2">
        <v>113</v>
      </c>
    </row>
    <row r="204" spans="1:9" ht="15.75" customHeight="1">
      <c r="A204" s="2">
        <v>5</v>
      </c>
      <c r="B204" s="2" t="s">
        <v>32</v>
      </c>
      <c r="C204" s="2" t="s">
        <v>28</v>
      </c>
      <c r="D204" s="2" t="s">
        <v>17</v>
      </c>
      <c r="E204" s="2" t="s">
        <v>14</v>
      </c>
      <c r="F204" s="2">
        <v>202</v>
      </c>
      <c r="G204" s="2">
        <v>6708.59</v>
      </c>
      <c r="H204" s="2">
        <v>1355134</v>
      </c>
      <c r="I204" s="2">
        <v>168</v>
      </c>
    </row>
    <row r="205" spans="1:9" ht="15.75" customHeight="1">
      <c r="A205" s="2">
        <v>5</v>
      </c>
      <c r="B205" s="2" t="s">
        <v>32</v>
      </c>
      <c r="C205" s="2" t="s">
        <v>28</v>
      </c>
      <c r="D205" s="2" t="s">
        <v>17</v>
      </c>
      <c r="E205" s="2" t="s">
        <v>15</v>
      </c>
      <c r="F205" s="2">
        <v>673</v>
      </c>
      <c r="G205" s="2">
        <v>1296.8599999999999</v>
      </c>
      <c r="H205" s="2">
        <v>872788</v>
      </c>
      <c r="I205" s="2">
        <v>546</v>
      </c>
    </row>
    <row r="206" spans="1:9" ht="15.75" customHeight="1">
      <c r="A206" s="2">
        <v>5</v>
      </c>
      <c r="B206" s="2" t="s">
        <v>32</v>
      </c>
      <c r="C206" s="2" t="s">
        <v>28</v>
      </c>
      <c r="D206" s="2" t="s">
        <v>18</v>
      </c>
      <c r="E206" s="2" t="s">
        <v>12</v>
      </c>
      <c r="F206" s="2">
        <v>614</v>
      </c>
      <c r="G206" s="2">
        <v>5358.73</v>
      </c>
      <c r="H206" s="2">
        <v>3290262</v>
      </c>
      <c r="I206" s="2">
        <v>457</v>
      </c>
    </row>
    <row r="207" spans="1:9" ht="15.75" customHeight="1">
      <c r="A207" s="2">
        <v>5</v>
      </c>
      <c r="B207" s="2" t="s">
        <v>32</v>
      </c>
      <c r="C207" s="2" t="s">
        <v>28</v>
      </c>
      <c r="D207" s="2" t="s">
        <v>18</v>
      </c>
      <c r="E207" s="2" t="s">
        <v>13</v>
      </c>
      <c r="F207" s="2">
        <v>138</v>
      </c>
      <c r="G207" s="2">
        <v>21108.98</v>
      </c>
      <c r="H207" s="2">
        <v>2913040</v>
      </c>
      <c r="I207" s="2">
        <v>107</v>
      </c>
    </row>
    <row r="208" spans="1:9" ht="15.75" customHeight="1">
      <c r="A208" s="2">
        <v>5</v>
      </c>
      <c r="B208" s="2" t="s">
        <v>32</v>
      </c>
      <c r="C208" s="2" t="s">
        <v>28</v>
      </c>
      <c r="D208" s="2" t="s">
        <v>18</v>
      </c>
      <c r="E208" s="2" t="s">
        <v>14</v>
      </c>
      <c r="F208" s="2">
        <v>430</v>
      </c>
      <c r="G208" s="2">
        <v>6722.58</v>
      </c>
      <c r="H208" s="2">
        <v>2890709</v>
      </c>
      <c r="I208" s="2">
        <v>326</v>
      </c>
    </row>
    <row r="209" spans="1:9" ht="15.75" customHeight="1">
      <c r="A209" s="2">
        <v>5</v>
      </c>
      <c r="B209" s="2" t="s">
        <v>32</v>
      </c>
      <c r="C209" s="2" t="s">
        <v>28</v>
      </c>
      <c r="D209" s="2" t="s">
        <v>18</v>
      </c>
      <c r="E209" s="2" t="s">
        <v>15</v>
      </c>
      <c r="F209" s="2">
        <v>924</v>
      </c>
      <c r="G209" s="2">
        <v>1112.5</v>
      </c>
      <c r="H209" s="2">
        <v>1027949</v>
      </c>
      <c r="I209" s="2">
        <v>783</v>
      </c>
    </row>
    <row r="210" spans="1:9" ht="15.75" customHeight="1">
      <c r="A210" s="2">
        <v>5</v>
      </c>
      <c r="B210" s="2" t="s">
        <v>32</v>
      </c>
      <c r="C210" s="2" t="s">
        <v>28</v>
      </c>
      <c r="D210" s="2" t="s">
        <v>19</v>
      </c>
      <c r="E210" s="2" t="s">
        <v>12</v>
      </c>
      <c r="F210" s="2">
        <v>1179</v>
      </c>
      <c r="G210" s="2">
        <v>5568.62</v>
      </c>
      <c r="H210" s="2">
        <v>6565403</v>
      </c>
      <c r="I210" s="2">
        <v>966</v>
      </c>
    </row>
    <row r="211" spans="1:9" ht="15.75" customHeight="1">
      <c r="A211" s="2">
        <v>5</v>
      </c>
      <c r="B211" s="2" t="s">
        <v>32</v>
      </c>
      <c r="C211" s="2" t="s">
        <v>28</v>
      </c>
      <c r="D211" s="2" t="s">
        <v>19</v>
      </c>
      <c r="E211" s="2" t="s">
        <v>13</v>
      </c>
      <c r="F211" s="2">
        <v>210</v>
      </c>
      <c r="G211" s="2">
        <v>20453.87</v>
      </c>
      <c r="H211" s="2">
        <v>4295314</v>
      </c>
      <c r="I211" s="2">
        <v>185</v>
      </c>
    </row>
    <row r="212" spans="1:9" ht="15.75" customHeight="1">
      <c r="A212" s="2">
        <v>5</v>
      </c>
      <c r="B212" s="2" t="s">
        <v>32</v>
      </c>
      <c r="C212" s="2" t="s">
        <v>28</v>
      </c>
      <c r="D212" s="2" t="s">
        <v>19</v>
      </c>
      <c r="E212" s="2" t="s">
        <v>14</v>
      </c>
      <c r="F212" s="2">
        <v>310</v>
      </c>
      <c r="G212" s="2">
        <v>6567.85</v>
      </c>
      <c r="H212" s="2">
        <v>2036033</v>
      </c>
      <c r="I212" s="2">
        <v>226</v>
      </c>
    </row>
    <row r="213" spans="1:9" ht="15.75" customHeight="1">
      <c r="A213" s="2">
        <v>5</v>
      </c>
      <c r="B213" s="2" t="s">
        <v>32</v>
      </c>
      <c r="C213" s="2" t="s">
        <v>28</v>
      </c>
      <c r="D213" s="2" t="s">
        <v>19</v>
      </c>
      <c r="E213" s="2" t="s">
        <v>15</v>
      </c>
      <c r="F213" s="2">
        <v>824</v>
      </c>
      <c r="G213" s="2">
        <v>1358.2</v>
      </c>
      <c r="H213" s="2">
        <v>1119160</v>
      </c>
      <c r="I213" s="2">
        <v>646</v>
      </c>
    </row>
    <row r="214" spans="1:9" ht="15.75" customHeight="1">
      <c r="A214" s="2">
        <v>5</v>
      </c>
      <c r="B214" s="2" t="s">
        <v>32</v>
      </c>
      <c r="C214" s="2" t="s">
        <v>28</v>
      </c>
      <c r="D214" s="2" t="s">
        <v>20</v>
      </c>
      <c r="E214" s="2" t="s">
        <v>12</v>
      </c>
      <c r="F214" s="2">
        <v>881</v>
      </c>
      <c r="G214" s="2">
        <v>5016.96</v>
      </c>
      <c r="H214" s="2">
        <v>4419941</v>
      </c>
      <c r="I214" s="2">
        <v>726</v>
      </c>
    </row>
    <row r="215" spans="1:9" ht="15.75" customHeight="1">
      <c r="A215" s="2">
        <v>5</v>
      </c>
      <c r="B215" s="2" t="s">
        <v>32</v>
      </c>
      <c r="C215" s="2" t="s">
        <v>28</v>
      </c>
      <c r="D215" s="2" t="s">
        <v>20</v>
      </c>
      <c r="E215" s="2" t="s">
        <v>13</v>
      </c>
      <c r="F215" s="2">
        <v>220</v>
      </c>
      <c r="G215" s="2">
        <v>21976.32</v>
      </c>
      <c r="H215" s="2">
        <v>4834791</v>
      </c>
      <c r="I215" s="2">
        <v>167</v>
      </c>
    </row>
    <row r="216" spans="1:9" ht="15.75" customHeight="1">
      <c r="A216" s="2">
        <v>5</v>
      </c>
      <c r="B216" s="2" t="s">
        <v>32</v>
      </c>
      <c r="C216" s="2" t="s">
        <v>28</v>
      </c>
      <c r="D216" s="2" t="s">
        <v>20</v>
      </c>
      <c r="E216" s="2" t="s">
        <v>14</v>
      </c>
      <c r="F216" s="2">
        <v>349</v>
      </c>
      <c r="G216" s="2">
        <v>6514.87</v>
      </c>
      <c r="H216" s="2">
        <v>2273691</v>
      </c>
      <c r="I216" s="2">
        <v>286</v>
      </c>
    </row>
    <row r="217" spans="1:9" ht="15.75" customHeight="1">
      <c r="A217" s="2">
        <v>5</v>
      </c>
      <c r="B217" s="2" t="s">
        <v>32</v>
      </c>
      <c r="C217" s="2" t="s">
        <v>28</v>
      </c>
      <c r="D217" s="2" t="s">
        <v>20</v>
      </c>
      <c r="E217" s="2" t="s">
        <v>15</v>
      </c>
      <c r="F217" s="2">
        <v>749</v>
      </c>
      <c r="G217" s="2">
        <v>1074.1199999999999</v>
      </c>
      <c r="H217" s="2">
        <v>804513</v>
      </c>
      <c r="I217" s="2">
        <v>559</v>
      </c>
    </row>
    <row r="218" spans="1:9" ht="15.75" customHeight="1">
      <c r="A218" s="2">
        <v>5</v>
      </c>
      <c r="B218" s="2" t="s">
        <v>32</v>
      </c>
      <c r="C218" s="2" t="s">
        <v>28</v>
      </c>
      <c r="D218" s="2" t="s">
        <v>21</v>
      </c>
      <c r="E218" s="2" t="s">
        <v>12</v>
      </c>
      <c r="F218" s="2">
        <v>949</v>
      </c>
      <c r="G218" s="2">
        <v>5309.7</v>
      </c>
      <c r="H218" s="2">
        <v>5038909</v>
      </c>
      <c r="I218" s="2">
        <v>761</v>
      </c>
    </row>
    <row r="219" spans="1:9" ht="15.75" customHeight="1">
      <c r="A219" s="2">
        <v>5</v>
      </c>
      <c r="B219" s="2" t="s">
        <v>32</v>
      </c>
      <c r="C219" s="2" t="s">
        <v>28</v>
      </c>
      <c r="D219" s="2" t="s">
        <v>21</v>
      </c>
      <c r="E219" s="2" t="s">
        <v>13</v>
      </c>
      <c r="F219" s="2">
        <v>135</v>
      </c>
      <c r="G219" s="2">
        <v>20835.240000000002</v>
      </c>
      <c r="H219" s="2">
        <v>2812757</v>
      </c>
      <c r="I219" s="2">
        <v>128</v>
      </c>
    </row>
    <row r="220" spans="1:9" ht="15.75" customHeight="1">
      <c r="A220" s="2">
        <v>5</v>
      </c>
      <c r="B220" s="2" t="s">
        <v>32</v>
      </c>
      <c r="C220" s="2" t="s">
        <v>28</v>
      </c>
      <c r="D220" s="2" t="s">
        <v>21</v>
      </c>
      <c r="E220" s="2" t="s">
        <v>14</v>
      </c>
      <c r="F220" s="2">
        <v>205</v>
      </c>
      <c r="G220" s="2">
        <v>6817.08</v>
      </c>
      <c r="H220" s="2">
        <v>1397501</v>
      </c>
      <c r="I220" s="2">
        <v>187</v>
      </c>
    </row>
    <row r="221" spans="1:9" ht="15.75" customHeight="1">
      <c r="A221" s="2">
        <v>5</v>
      </c>
      <c r="B221" s="2" t="s">
        <v>32</v>
      </c>
      <c r="C221" s="2" t="s">
        <v>28</v>
      </c>
      <c r="D221" s="2" t="s">
        <v>21</v>
      </c>
      <c r="E221" s="2" t="s">
        <v>15</v>
      </c>
      <c r="F221" s="2">
        <v>1045</v>
      </c>
      <c r="G221" s="2">
        <v>1191.51</v>
      </c>
      <c r="H221" s="2">
        <v>1245127</v>
      </c>
      <c r="I221" s="2">
        <v>986</v>
      </c>
    </row>
    <row r="222" spans="1:9" ht="15.75" customHeight="1">
      <c r="A222" s="2">
        <v>5</v>
      </c>
      <c r="B222" s="2" t="s">
        <v>32</v>
      </c>
      <c r="C222" s="2" t="s">
        <v>28</v>
      </c>
      <c r="D222" s="2" t="s">
        <v>22</v>
      </c>
      <c r="E222" s="2" t="s">
        <v>12</v>
      </c>
      <c r="F222" s="2">
        <v>1103</v>
      </c>
      <c r="G222" s="2">
        <v>5463.17</v>
      </c>
      <c r="H222" s="2">
        <v>6025877</v>
      </c>
      <c r="I222" s="2">
        <v>970</v>
      </c>
    </row>
    <row r="223" spans="1:9" ht="15.75" customHeight="1">
      <c r="A223" s="2">
        <v>5</v>
      </c>
      <c r="B223" s="2" t="s">
        <v>32</v>
      </c>
      <c r="C223" s="2" t="s">
        <v>28</v>
      </c>
      <c r="D223" s="2" t="s">
        <v>22</v>
      </c>
      <c r="E223" s="2" t="s">
        <v>13</v>
      </c>
      <c r="F223" s="2">
        <v>235</v>
      </c>
      <c r="G223" s="2">
        <v>21953.4</v>
      </c>
      <c r="H223" s="2">
        <v>5159050</v>
      </c>
      <c r="I223" s="2">
        <v>192</v>
      </c>
    </row>
    <row r="224" spans="1:9" ht="15.75" customHeight="1">
      <c r="A224" s="2">
        <v>5</v>
      </c>
      <c r="B224" s="2" t="s">
        <v>32</v>
      </c>
      <c r="C224" s="2" t="s">
        <v>28</v>
      </c>
      <c r="D224" s="2" t="s">
        <v>22</v>
      </c>
      <c r="E224" s="2" t="s">
        <v>14</v>
      </c>
      <c r="F224" s="2">
        <v>372</v>
      </c>
      <c r="G224" s="2">
        <v>6501.21</v>
      </c>
      <c r="H224" s="2">
        <v>2418451</v>
      </c>
      <c r="I224" s="2">
        <v>290</v>
      </c>
    </row>
    <row r="225" spans="1:9" ht="15.75" customHeight="1">
      <c r="A225" s="2">
        <v>5</v>
      </c>
      <c r="B225" s="2" t="s">
        <v>32</v>
      </c>
      <c r="C225" s="2" t="s">
        <v>28</v>
      </c>
      <c r="D225" s="2" t="s">
        <v>22</v>
      </c>
      <c r="E225" s="2" t="s">
        <v>15</v>
      </c>
      <c r="F225" s="2">
        <v>1186</v>
      </c>
      <c r="G225" s="2">
        <v>1257.06</v>
      </c>
      <c r="H225" s="2">
        <v>1490873</v>
      </c>
      <c r="I225" s="2">
        <v>889</v>
      </c>
    </row>
    <row r="226" spans="1:9" ht="15.75" customHeight="1">
      <c r="A226" s="2">
        <v>5</v>
      </c>
      <c r="B226" s="2" t="s">
        <v>32</v>
      </c>
      <c r="C226" s="2" t="s">
        <v>28</v>
      </c>
      <c r="D226" s="2" t="s">
        <v>23</v>
      </c>
      <c r="E226" s="2" t="s">
        <v>12</v>
      </c>
      <c r="F226" s="2">
        <v>1131</v>
      </c>
      <c r="G226" s="2">
        <v>5208.28</v>
      </c>
      <c r="H226" s="2">
        <v>5890560</v>
      </c>
      <c r="I226" s="2">
        <v>964</v>
      </c>
    </row>
    <row r="227" spans="1:9" ht="15.75" customHeight="1">
      <c r="A227" s="2">
        <v>5</v>
      </c>
      <c r="B227" s="2" t="s">
        <v>32</v>
      </c>
      <c r="C227" s="2" t="s">
        <v>28</v>
      </c>
      <c r="D227" s="2" t="s">
        <v>23</v>
      </c>
      <c r="E227" s="2" t="s">
        <v>13</v>
      </c>
      <c r="F227" s="2">
        <v>163</v>
      </c>
      <c r="G227" s="2">
        <v>21254.63</v>
      </c>
      <c r="H227" s="2">
        <v>3464504</v>
      </c>
      <c r="I227" s="2">
        <v>117</v>
      </c>
    </row>
    <row r="228" spans="1:9" ht="15.75" customHeight="1">
      <c r="A228" s="2">
        <v>5</v>
      </c>
      <c r="B228" s="2" t="s">
        <v>32</v>
      </c>
      <c r="C228" s="2" t="s">
        <v>28</v>
      </c>
      <c r="D228" s="2" t="s">
        <v>23</v>
      </c>
      <c r="E228" s="2" t="s">
        <v>14</v>
      </c>
      <c r="F228" s="2">
        <v>338</v>
      </c>
      <c r="G228" s="2">
        <v>6640.61</v>
      </c>
      <c r="H228" s="2">
        <v>2244527</v>
      </c>
      <c r="I228" s="2">
        <v>286</v>
      </c>
    </row>
    <row r="229" spans="1:9" ht="15.75" customHeight="1">
      <c r="A229" s="2">
        <v>5</v>
      </c>
      <c r="B229" s="2" t="s">
        <v>32</v>
      </c>
      <c r="C229" s="2" t="s">
        <v>28</v>
      </c>
      <c r="D229" s="2" t="s">
        <v>23</v>
      </c>
      <c r="E229" s="2" t="s">
        <v>15</v>
      </c>
      <c r="F229" s="2">
        <v>1089</v>
      </c>
      <c r="G229" s="2">
        <v>1247.68</v>
      </c>
      <c r="H229" s="2">
        <v>1358727</v>
      </c>
      <c r="I229" s="2">
        <v>885</v>
      </c>
    </row>
    <row r="230" spans="1:9" ht="15.75" customHeight="1">
      <c r="A230" s="2">
        <v>5</v>
      </c>
      <c r="B230" s="2" t="s">
        <v>32</v>
      </c>
      <c r="C230" s="2" t="s">
        <v>28</v>
      </c>
      <c r="D230" s="2" t="s">
        <v>24</v>
      </c>
      <c r="E230" s="2" t="s">
        <v>12</v>
      </c>
      <c r="F230" s="2">
        <v>860</v>
      </c>
      <c r="G230" s="2">
        <v>5501.26</v>
      </c>
      <c r="H230" s="2">
        <v>4731082</v>
      </c>
      <c r="I230" s="2">
        <v>656</v>
      </c>
    </row>
    <row r="231" spans="1:9" ht="15.75" customHeight="1">
      <c r="A231" s="2">
        <v>5</v>
      </c>
      <c r="B231" s="2" t="s">
        <v>32</v>
      </c>
      <c r="C231" s="2" t="s">
        <v>28</v>
      </c>
      <c r="D231" s="2" t="s">
        <v>24</v>
      </c>
      <c r="E231" s="2" t="s">
        <v>13</v>
      </c>
      <c r="F231" s="2">
        <v>200</v>
      </c>
      <c r="G231" s="2">
        <v>21038.49</v>
      </c>
      <c r="H231" s="2">
        <v>4207697</v>
      </c>
      <c r="I231" s="2">
        <v>140</v>
      </c>
    </row>
    <row r="232" spans="1:9" ht="15.75" customHeight="1">
      <c r="A232" s="2">
        <v>5</v>
      </c>
      <c r="B232" s="2" t="s">
        <v>32</v>
      </c>
      <c r="C232" s="2" t="s">
        <v>28</v>
      </c>
      <c r="D232" s="2" t="s">
        <v>24</v>
      </c>
      <c r="E232" s="2" t="s">
        <v>14</v>
      </c>
      <c r="F232" s="2">
        <v>464</v>
      </c>
      <c r="G232" s="2">
        <v>6483</v>
      </c>
      <c r="H232" s="2">
        <v>3008111</v>
      </c>
      <c r="I232" s="2">
        <v>372</v>
      </c>
    </row>
    <row r="233" spans="1:9" ht="15.75" customHeight="1">
      <c r="A233" s="2">
        <v>5</v>
      </c>
      <c r="B233" s="2" t="s">
        <v>32</v>
      </c>
      <c r="C233" s="2" t="s">
        <v>28</v>
      </c>
      <c r="D233" s="2" t="s">
        <v>24</v>
      </c>
      <c r="E233" s="2" t="s">
        <v>15</v>
      </c>
      <c r="F233" s="2">
        <v>1005</v>
      </c>
      <c r="G233" s="2">
        <v>1443.38</v>
      </c>
      <c r="H233" s="2">
        <v>1450602</v>
      </c>
      <c r="I233" s="2">
        <v>730</v>
      </c>
    </row>
    <row r="234" spans="1:9" ht="15.75" customHeight="1">
      <c r="A234" s="2">
        <v>5</v>
      </c>
      <c r="B234" s="2" t="s">
        <v>32</v>
      </c>
      <c r="C234" s="2" t="s">
        <v>28</v>
      </c>
      <c r="D234" s="2" t="s">
        <v>25</v>
      </c>
      <c r="E234" s="2" t="s">
        <v>12</v>
      </c>
      <c r="F234" s="2">
        <v>1180</v>
      </c>
      <c r="G234" s="2">
        <v>5374.23</v>
      </c>
      <c r="H234" s="2">
        <v>6341590</v>
      </c>
      <c r="I234" s="2">
        <v>1102</v>
      </c>
    </row>
    <row r="235" spans="1:9" ht="15.75" customHeight="1">
      <c r="A235" s="2">
        <v>5</v>
      </c>
      <c r="B235" s="2" t="s">
        <v>32</v>
      </c>
      <c r="C235" s="2" t="s">
        <v>28</v>
      </c>
      <c r="D235" s="2" t="s">
        <v>25</v>
      </c>
      <c r="E235" s="2" t="s">
        <v>13</v>
      </c>
      <c r="F235" s="2">
        <v>175</v>
      </c>
      <c r="G235" s="2">
        <v>21016.81</v>
      </c>
      <c r="H235" s="2">
        <v>3677942</v>
      </c>
      <c r="I235" s="2">
        <v>139</v>
      </c>
    </row>
    <row r="236" spans="1:9" ht="15.75" customHeight="1">
      <c r="A236" s="2">
        <v>5</v>
      </c>
      <c r="B236" s="2" t="s">
        <v>32</v>
      </c>
      <c r="C236" s="2" t="s">
        <v>28</v>
      </c>
      <c r="D236" s="2" t="s">
        <v>25</v>
      </c>
      <c r="E236" s="2" t="s">
        <v>14</v>
      </c>
      <c r="F236" s="2">
        <v>200</v>
      </c>
      <c r="G236" s="2">
        <v>6846.41</v>
      </c>
      <c r="H236" s="2">
        <v>1369283</v>
      </c>
      <c r="I236" s="2">
        <v>182</v>
      </c>
    </row>
    <row r="237" spans="1:9" ht="15.75" customHeight="1">
      <c r="A237" s="2">
        <v>5</v>
      </c>
      <c r="B237" s="2" t="s">
        <v>32</v>
      </c>
      <c r="C237" s="2" t="s">
        <v>28</v>
      </c>
      <c r="D237" s="2" t="s">
        <v>25</v>
      </c>
      <c r="E237" s="2" t="s">
        <v>15</v>
      </c>
      <c r="F237" s="2">
        <v>1178</v>
      </c>
      <c r="G237" s="2">
        <v>1358.01</v>
      </c>
      <c r="H237" s="2">
        <v>1599740</v>
      </c>
      <c r="I237" s="2">
        <v>1058</v>
      </c>
    </row>
    <row r="238" spans="1:9" ht="15.75" customHeight="1">
      <c r="A238" s="2">
        <v>5</v>
      </c>
      <c r="B238" s="2" t="s">
        <v>32</v>
      </c>
      <c r="C238" s="2" t="s">
        <v>28</v>
      </c>
      <c r="D238" s="2" t="s">
        <v>26</v>
      </c>
      <c r="E238" s="2" t="s">
        <v>12</v>
      </c>
      <c r="F238" s="2">
        <v>869</v>
      </c>
      <c r="G238" s="2">
        <v>5403.22</v>
      </c>
      <c r="H238" s="2">
        <v>4695402</v>
      </c>
      <c r="I238" s="2">
        <v>648</v>
      </c>
    </row>
    <row r="239" spans="1:9" ht="15.75" customHeight="1">
      <c r="A239" s="2">
        <v>5</v>
      </c>
      <c r="B239" s="2" t="s">
        <v>32</v>
      </c>
      <c r="C239" s="2" t="s">
        <v>28</v>
      </c>
      <c r="D239" s="2" t="s">
        <v>26</v>
      </c>
      <c r="E239" s="2" t="s">
        <v>13</v>
      </c>
      <c r="F239" s="2">
        <v>182</v>
      </c>
      <c r="G239" s="2">
        <v>21880.39</v>
      </c>
      <c r="H239" s="2">
        <v>3982232</v>
      </c>
      <c r="I239" s="2">
        <v>157</v>
      </c>
    </row>
    <row r="240" spans="1:9" ht="15.75" customHeight="1">
      <c r="A240" s="2">
        <v>5</v>
      </c>
      <c r="B240" s="2" t="s">
        <v>32</v>
      </c>
      <c r="C240" s="2" t="s">
        <v>28</v>
      </c>
      <c r="D240" s="2" t="s">
        <v>26</v>
      </c>
      <c r="E240" s="2" t="s">
        <v>14</v>
      </c>
      <c r="F240" s="2">
        <v>261</v>
      </c>
      <c r="G240" s="2">
        <v>6961.34</v>
      </c>
      <c r="H240" s="2">
        <v>1816909</v>
      </c>
      <c r="I240" s="2">
        <v>208</v>
      </c>
    </row>
    <row r="241" spans="1:9" ht="15.75" customHeight="1">
      <c r="A241" s="2">
        <v>5</v>
      </c>
      <c r="B241" s="2" t="s">
        <v>32</v>
      </c>
      <c r="C241" s="2" t="s">
        <v>28</v>
      </c>
      <c r="D241" s="2" t="s">
        <v>26</v>
      </c>
      <c r="E241" s="2" t="s">
        <v>15</v>
      </c>
      <c r="F241" s="2">
        <v>695</v>
      </c>
      <c r="G241" s="2">
        <v>1167.4000000000001</v>
      </c>
      <c r="H241" s="2">
        <v>811341</v>
      </c>
      <c r="I241" s="2">
        <v>565</v>
      </c>
    </row>
    <row r="242" spans="1:9" ht="15.75" customHeight="1">
      <c r="A242" s="2">
        <v>6</v>
      </c>
      <c r="B242" s="2" t="s">
        <v>33</v>
      </c>
      <c r="C242" s="2" t="s">
        <v>34</v>
      </c>
      <c r="D242" s="2" t="s">
        <v>11</v>
      </c>
      <c r="E242" s="2" t="s">
        <v>12</v>
      </c>
      <c r="F242" s="2">
        <v>1125</v>
      </c>
      <c r="G242" s="2">
        <v>5350.04</v>
      </c>
      <c r="H242" s="2">
        <v>6018793</v>
      </c>
      <c r="I242" s="2">
        <v>939</v>
      </c>
    </row>
    <row r="243" spans="1:9" ht="15.75" customHeight="1">
      <c r="A243" s="2">
        <v>6</v>
      </c>
      <c r="B243" s="2" t="s">
        <v>33</v>
      </c>
      <c r="C243" s="2" t="s">
        <v>34</v>
      </c>
      <c r="D243" s="2" t="s">
        <v>11</v>
      </c>
      <c r="E243" s="2" t="s">
        <v>13</v>
      </c>
      <c r="F243" s="2">
        <v>162</v>
      </c>
      <c r="G243" s="2">
        <v>22144.59</v>
      </c>
      <c r="H243" s="2">
        <v>3587423</v>
      </c>
      <c r="I243" s="2">
        <v>133</v>
      </c>
    </row>
    <row r="244" spans="1:9" ht="15.75" customHeight="1">
      <c r="A244" s="2">
        <v>6</v>
      </c>
      <c r="B244" s="2" t="s">
        <v>33</v>
      </c>
      <c r="C244" s="2" t="s">
        <v>34</v>
      </c>
      <c r="D244" s="2" t="s">
        <v>11</v>
      </c>
      <c r="E244" s="2" t="s">
        <v>14</v>
      </c>
      <c r="F244" s="2">
        <v>352</v>
      </c>
      <c r="G244" s="2">
        <v>6336.85</v>
      </c>
      <c r="H244" s="2">
        <v>2230571</v>
      </c>
      <c r="I244" s="2">
        <v>293</v>
      </c>
    </row>
    <row r="245" spans="1:9" ht="15.75" customHeight="1">
      <c r="A245" s="2">
        <v>6</v>
      </c>
      <c r="B245" s="2" t="s">
        <v>33</v>
      </c>
      <c r="C245" s="2" t="s">
        <v>34</v>
      </c>
      <c r="D245" s="2" t="s">
        <v>11</v>
      </c>
      <c r="E245" s="2" t="s">
        <v>15</v>
      </c>
      <c r="F245" s="2">
        <v>1015</v>
      </c>
      <c r="G245" s="2">
        <v>1038.6600000000001</v>
      </c>
      <c r="H245" s="2">
        <v>1054239</v>
      </c>
      <c r="I245" s="2">
        <v>768</v>
      </c>
    </row>
    <row r="246" spans="1:9" ht="15.75" customHeight="1">
      <c r="A246" s="2">
        <v>6</v>
      </c>
      <c r="B246" s="2" t="s">
        <v>33</v>
      </c>
      <c r="C246" s="2" t="s">
        <v>34</v>
      </c>
      <c r="D246" s="2" t="s">
        <v>16</v>
      </c>
      <c r="E246" s="2" t="s">
        <v>12</v>
      </c>
      <c r="F246" s="2">
        <v>638</v>
      </c>
      <c r="G246" s="2">
        <v>5004.28</v>
      </c>
      <c r="H246" s="2">
        <v>3192732</v>
      </c>
      <c r="I246" s="2">
        <v>468</v>
      </c>
    </row>
    <row r="247" spans="1:9" ht="15.75" customHeight="1">
      <c r="A247" s="2">
        <v>6</v>
      </c>
      <c r="B247" s="2" t="s">
        <v>33</v>
      </c>
      <c r="C247" s="2" t="s">
        <v>34</v>
      </c>
      <c r="D247" s="2" t="s">
        <v>16</v>
      </c>
      <c r="E247" s="2" t="s">
        <v>13</v>
      </c>
      <c r="F247" s="2">
        <v>114</v>
      </c>
      <c r="G247" s="2">
        <v>22415</v>
      </c>
      <c r="H247" s="2">
        <v>2555310</v>
      </c>
      <c r="I247" s="2">
        <v>104</v>
      </c>
    </row>
    <row r="248" spans="1:9" ht="15.75" customHeight="1">
      <c r="A248" s="2">
        <v>6</v>
      </c>
      <c r="B248" s="2" t="s">
        <v>33</v>
      </c>
      <c r="C248" s="2" t="s">
        <v>34</v>
      </c>
      <c r="D248" s="2" t="s">
        <v>16</v>
      </c>
      <c r="E248" s="2" t="s">
        <v>14</v>
      </c>
      <c r="F248" s="2">
        <v>488</v>
      </c>
      <c r="G248" s="2">
        <v>6989.78</v>
      </c>
      <c r="H248" s="2">
        <v>3411011</v>
      </c>
      <c r="I248" s="2">
        <v>437</v>
      </c>
    </row>
    <row r="249" spans="1:9" ht="15.75" customHeight="1">
      <c r="A249" s="2">
        <v>6</v>
      </c>
      <c r="B249" s="2" t="s">
        <v>33</v>
      </c>
      <c r="C249" s="2" t="s">
        <v>34</v>
      </c>
      <c r="D249" s="2" t="s">
        <v>16</v>
      </c>
      <c r="E249" s="2" t="s">
        <v>15</v>
      </c>
      <c r="F249" s="2">
        <v>949</v>
      </c>
      <c r="G249" s="2">
        <v>1208.21</v>
      </c>
      <c r="H249" s="2">
        <v>1146587</v>
      </c>
      <c r="I249" s="2">
        <v>842</v>
      </c>
    </row>
    <row r="250" spans="1:9" ht="15.75" customHeight="1">
      <c r="A250" s="2">
        <v>6</v>
      </c>
      <c r="B250" s="2" t="s">
        <v>33</v>
      </c>
      <c r="C250" s="2" t="s">
        <v>34</v>
      </c>
      <c r="D250" s="2" t="s">
        <v>17</v>
      </c>
      <c r="E250" s="2" t="s">
        <v>12</v>
      </c>
      <c r="F250" s="2">
        <v>1010</v>
      </c>
      <c r="G250" s="2">
        <v>5601.95</v>
      </c>
      <c r="H250" s="2">
        <v>5657974</v>
      </c>
      <c r="I250" s="2">
        <v>928</v>
      </c>
    </row>
    <row r="251" spans="1:9" ht="15.75" customHeight="1">
      <c r="A251" s="2">
        <v>6</v>
      </c>
      <c r="B251" s="2" t="s">
        <v>33</v>
      </c>
      <c r="C251" s="2" t="s">
        <v>34</v>
      </c>
      <c r="D251" s="2" t="s">
        <v>17</v>
      </c>
      <c r="E251" s="2" t="s">
        <v>13</v>
      </c>
      <c r="F251" s="2">
        <v>196</v>
      </c>
      <c r="G251" s="2">
        <v>21821.63</v>
      </c>
      <c r="H251" s="2">
        <v>4277039</v>
      </c>
      <c r="I251" s="2">
        <v>142</v>
      </c>
    </row>
    <row r="252" spans="1:9" ht="15.75" customHeight="1">
      <c r="A252" s="2">
        <v>6</v>
      </c>
      <c r="B252" s="2" t="s">
        <v>33</v>
      </c>
      <c r="C252" s="2" t="s">
        <v>34</v>
      </c>
      <c r="D252" s="2" t="s">
        <v>17</v>
      </c>
      <c r="E252" s="2" t="s">
        <v>14</v>
      </c>
      <c r="F252" s="2">
        <v>358</v>
      </c>
      <c r="G252" s="2">
        <v>6466.17</v>
      </c>
      <c r="H252" s="2">
        <v>2314890</v>
      </c>
      <c r="I252" s="2">
        <v>304</v>
      </c>
    </row>
    <row r="253" spans="1:9" ht="15.75" customHeight="1">
      <c r="A253" s="2">
        <v>6</v>
      </c>
      <c r="B253" s="2" t="s">
        <v>33</v>
      </c>
      <c r="C253" s="2" t="s">
        <v>34</v>
      </c>
      <c r="D253" s="2" t="s">
        <v>17</v>
      </c>
      <c r="E253" s="2" t="s">
        <v>15</v>
      </c>
      <c r="F253" s="2">
        <v>414</v>
      </c>
      <c r="G253" s="2">
        <v>980.35</v>
      </c>
      <c r="H253" s="2">
        <v>405864</v>
      </c>
      <c r="I253" s="2">
        <v>372</v>
      </c>
    </row>
    <row r="254" spans="1:9" ht="15.75" customHeight="1">
      <c r="A254" s="2">
        <v>6</v>
      </c>
      <c r="B254" s="2" t="s">
        <v>33</v>
      </c>
      <c r="C254" s="2" t="s">
        <v>34</v>
      </c>
      <c r="D254" s="2" t="s">
        <v>18</v>
      </c>
      <c r="E254" s="2" t="s">
        <v>12</v>
      </c>
      <c r="F254" s="2">
        <v>860</v>
      </c>
      <c r="G254" s="2">
        <v>4785.41</v>
      </c>
      <c r="H254" s="2">
        <v>4115456</v>
      </c>
      <c r="I254" s="2">
        <v>767</v>
      </c>
    </row>
    <row r="255" spans="1:9" ht="15.75" customHeight="1">
      <c r="A255" s="2">
        <v>6</v>
      </c>
      <c r="B255" s="2" t="s">
        <v>33</v>
      </c>
      <c r="C255" s="2" t="s">
        <v>34</v>
      </c>
      <c r="D255" s="2" t="s">
        <v>18</v>
      </c>
      <c r="E255" s="2" t="s">
        <v>13</v>
      </c>
      <c r="F255" s="2">
        <v>194</v>
      </c>
      <c r="G255" s="2">
        <v>21191.57</v>
      </c>
      <c r="H255" s="2">
        <v>4111164</v>
      </c>
      <c r="I255" s="2">
        <v>164</v>
      </c>
    </row>
    <row r="256" spans="1:9" ht="15.75" customHeight="1">
      <c r="A256" s="2">
        <v>6</v>
      </c>
      <c r="B256" s="2" t="s">
        <v>33</v>
      </c>
      <c r="C256" s="2" t="s">
        <v>34</v>
      </c>
      <c r="D256" s="2" t="s">
        <v>18</v>
      </c>
      <c r="E256" s="2" t="s">
        <v>14</v>
      </c>
      <c r="F256" s="2">
        <v>491</v>
      </c>
      <c r="G256" s="2">
        <v>6915.43</v>
      </c>
      <c r="H256" s="2">
        <v>3395476</v>
      </c>
      <c r="I256" s="2">
        <v>445</v>
      </c>
    </row>
    <row r="257" spans="1:9" ht="15.75" customHeight="1">
      <c r="A257" s="2">
        <v>6</v>
      </c>
      <c r="B257" s="2" t="s">
        <v>33</v>
      </c>
      <c r="C257" s="2" t="s">
        <v>34</v>
      </c>
      <c r="D257" s="2" t="s">
        <v>18</v>
      </c>
      <c r="E257" s="2" t="s">
        <v>15</v>
      </c>
      <c r="F257" s="2">
        <v>653</v>
      </c>
      <c r="G257" s="2">
        <v>1356.76</v>
      </c>
      <c r="H257" s="2">
        <v>885964</v>
      </c>
      <c r="I257" s="2">
        <v>605</v>
      </c>
    </row>
    <row r="258" spans="1:9" ht="15.75" customHeight="1">
      <c r="A258" s="2">
        <v>6</v>
      </c>
      <c r="B258" s="2" t="s">
        <v>33</v>
      </c>
      <c r="C258" s="2" t="s">
        <v>34</v>
      </c>
      <c r="D258" s="2" t="s">
        <v>19</v>
      </c>
      <c r="E258" s="2" t="s">
        <v>12</v>
      </c>
      <c r="F258" s="2">
        <v>1149</v>
      </c>
      <c r="G258" s="2">
        <v>5218.6099999999997</v>
      </c>
      <c r="H258" s="2">
        <v>5996184</v>
      </c>
      <c r="I258" s="2">
        <v>887</v>
      </c>
    </row>
    <row r="259" spans="1:9" ht="15.75" customHeight="1">
      <c r="A259" s="2">
        <v>6</v>
      </c>
      <c r="B259" s="2" t="s">
        <v>33</v>
      </c>
      <c r="C259" s="2" t="s">
        <v>34</v>
      </c>
      <c r="D259" s="2" t="s">
        <v>19</v>
      </c>
      <c r="E259" s="2" t="s">
        <v>13</v>
      </c>
      <c r="F259" s="2">
        <v>206</v>
      </c>
      <c r="G259" s="2">
        <v>20338.240000000002</v>
      </c>
      <c r="H259" s="2">
        <v>4189677</v>
      </c>
      <c r="I259" s="2">
        <v>152</v>
      </c>
    </row>
    <row r="260" spans="1:9" ht="15.75" customHeight="1">
      <c r="A260" s="2">
        <v>6</v>
      </c>
      <c r="B260" s="2" t="s">
        <v>33</v>
      </c>
      <c r="C260" s="2" t="s">
        <v>34</v>
      </c>
      <c r="D260" s="2" t="s">
        <v>19</v>
      </c>
      <c r="E260" s="2" t="s">
        <v>14</v>
      </c>
      <c r="F260" s="2">
        <v>340</v>
      </c>
      <c r="G260" s="2">
        <v>6960.35</v>
      </c>
      <c r="H260" s="2">
        <v>2366521</v>
      </c>
      <c r="I260" s="2">
        <v>288</v>
      </c>
    </row>
    <row r="261" spans="1:9" ht="15.75" customHeight="1">
      <c r="A261" s="2">
        <v>6</v>
      </c>
      <c r="B261" s="2" t="s">
        <v>33</v>
      </c>
      <c r="C261" s="2" t="s">
        <v>34</v>
      </c>
      <c r="D261" s="2" t="s">
        <v>19</v>
      </c>
      <c r="E261" s="2" t="s">
        <v>15</v>
      </c>
      <c r="F261" s="2">
        <v>755</v>
      </c>
      <c r="G261" s="2">
        <v>1106.3499999999999</v>
      </c>
      <c r="H261" s="2">
        <v>835293</v>
      </c>
      <c r="I261" s="2">
        <v>701</v>
      </c>
    </row>
    <row r="262" spans="1:9" ht="15.75" customHeight="1">
      <c r="A262" s="2">
        <v>6</v>
      </c>
      <c r="B262" s="2" t="s">
        <v>33</v>
      </c>
      <c r="C262" s="2" t="s">
        <v>34</v>
      </c>
      <c r="D262" s="2" t="s">
        <v>20</v>
      </c>
      <c r="E262" s="2" t="s">
        <v>12</v>
      </c>
      <c r="F262" s="2">
        <v>732</v>
      </c>
      <c r="G262" s="2">
        <v>5343.37</v>
      </c>
      <c r="H262" s="2">
        <v>3911348</v>
      </c>
      <c r="I262" s="2">
        <v>540</v>
      </c>
    </row>
    <row r="263" spans="1:9" ht="15.75" customHeight="1">
      <c r="A263" s="2">
        <v>6</v>
      </c>
      <c r="B263" s="2" t="s">
        <v>33</v>
      </c>
      <c r="C263" s="2" t="s">
        <v>34</v>
      </c>
      <c r="D263" s="2" t="s">
        <v>20</v>
      </c>
      <c r="E263" s="2" t="s">
        <v>13</v>
      </c>
      <c r="F263" s="2">
        <v>191</v>
      </c>
      <c r="G263" s="2">
        <v>21853.69</v>
      </c>
      <c r="H263" s="2">
        <v>4174055</v>
      </c>
      <c r="I263" s="2">
        <v>151</v>
      </c>
    </row>
    <row r="264" spans="1:9" ht="15.75" customHeight="1">
      <c r="A264" s="2">
        <v>6</v>
      </c>
      <c r="B264" s="2" t="s">
        <v>33</v>
      </c>
      <c r="C264" s="2" t="s">
        <v>34</v>
      </c>
      <c r="D264" s="2" t="s">
        <v>20</v>
      </c>
      <c r="E264" s="2" t="s">
        <v>14</v>
      </c>
      <c r="F264" s="2">
        <v>250</v>
      </c>
      <c r="G264" s="2">
        <v>6755.17</v>
      </c>
      <c r="H264" s="2">
        <v>1688791</v>
      </c>
      <c r="I264" s="2">
        <v>232</v>
      </c>
    </row>
    <row r="265" spans="1:9" ht="15.75" customHeight="1">
      <c r="A265" s="2">
        <v>6</v>
      </c>
      <c r="B265" s="2" t="s">
        <v>33</v>
      </c>
      <c r="C265" s="2" t="s">
        <v>34</v>
      </c>
      <c r="D265" s="2" t="s">
        <v>20</v>
      </c>
      <c r="E265" s="2" t="s">
        <v>15</v>
      </c>
      <c r="F265" s="2">
        <v>806</v>
      </c>
      <c r="G265" s="2">
        <v>1210.01</v>
      </c>
      <c r="H265" s="2">
        <v>975268</v>
      </c>
      <c r="I265" s="2">
        <v>588</v>
      </c>
    </row>
    <row r="266" spans="1:9" ht="15.75" customHeight="1">
      <c r="A266" s="2">
        <v>6</v>
      </c>
      <c r="B266" s="2" t="s">
        <v>33</v>
      </c>
      <c r="C266" s="2" t="s">
        <v>34</v>
      </c>
      <c r="D266" s="2" t="s">
        <v>21</v>
      </c>
      <c r="E266" s="2" t="s">
        <v>12</v>
      </c>
      <c r="F266" s="2">
        <v>1004</v>
      </c>
      <c r="G266" s="2">
        <v>5219.51</v>
      </c>
      <c r="H266" s="2">
        <v>5240388</v>
      </c>
      <c r="I266" s="2">
        <v>913</v>
      </c>
    </row>
    <row r="267" spans="1:9" ht="15.75" customHeight="1">
      <c r="A267" s="2">
        <v>6</v>
      </c>
      <c r="B267" s="2" t="s">
        <v>33</v>
      </c>
      <c r="C267" s="2" t="s">
        <v>34</v>
      </c>
      <c r="D267" s="2" t="s">
        <v>21</v>
      </c>
      <c r="E267" s="2" t="s">
        <v>13</v>
      </c>
      <c r="F267" s="2">
        <v>100</v>
      </c>
      <c r="G267" s="2">
        <v>21156.69</v>
      </c>
      <c r="H267" s="2">
        <v>2115669</v>
      </c>
      <c r="I267" s="2">
        <v>91</v>
      </c>
    </row>
    <row r="268" spans="1:9" ht="15.75" customHeight="1">
      <c r="A268" s="2">
        <v>6</v>
      </c>
      <c r="B268" s="2" t="s">
        <v>33</v>
      </c>
      <c r="C268" s="2" t="s">
        <v>34</v>
      </c>
      <c r="D268" s="2" t="s">
        <v>21</v>
      </c>
      <c r="E268" s="2" t="s">
        <v>14</v>
      </c>
      <c r="F268" s="2">
        <v>254</v>
      </c>
      <c r="G268" s="2">
        <v>6861.33</v>
      </c>
      <c r="H268" s="2">
        <v>1742778</v>
      </c>
      <c r="I268" s="2">
        <v>201</v>
      </c>
    </row>
    <row r="269" spans="1:9" ht="15.75" customHeight="1">
      <c r="A269" s="2">
        <v>6</v>
      </c>
      <c r="B269" s="2" t="s">
        <v>33</v>
      </c>
      <c r="C269" s="2" t="s">
        <v>34</v>
      </c>
      <c r="D269" s="2" t="s">
        <v>21</v>
      </c>
      <c r="E269" s="2" t="s">
        <v>15</v>
      </c>
      <c r="F269" s="2">
        <v>708</v>
      </c>
      <c r="G269" s="2">
        <v>1064.1300000000001</v>
      </c>
      <c r="H269" s="2">
        <v>753403</v>
      </c>
      <c r="I269" s="2">
        <v>554</v>
      </c>
    </row>
    <row r="270" spans="1:9" ht="15.75" customHeight="1">
      <c r="A270" s="2">
        <v>6</v>
      </c>
      <c r="B270" s="2" t="s">
        <v>33</v>
      </c>
      <c r="C270" s="2" t="s">
        <v>34</v>
      </c>
      <c r="D270" s="2" t="s">
        <v>22</v>
      </c>
      <c r="E270" s="2" t="s">
        <v>12</v>
      </c>
      <c r="F270" s="2">
        <v>1035</v>
      </c>
      <c r="G270" s="2">
        <v>5395.06</v>
      </c>
      <c r="H270" s="2">
        <v>5583891</v>
      </c>
      <c r="I270" s="2">
        <v>754</v>
      </c>
    </row>
    <row r="271" spans="1:9" ht="15.75" customHeight="1">
      <c r="A271" s="2">
        <v>6</v>
      </c>
      <c r="B271" s="2" t="s">
        <v>33</v>
      </c>
      <c r="C271" s="2" t="s">
        <v>34</v>
      </c>
      <c r="D271" s="2" t="s">
        <v>22</v>
      </c>
      <c r="E271" s="2" t="s">
        <v>13</v>
      </c>
      <c r="F271" s="2">
        <v>124</v>
      </c>
      <c r="G271" s="2">
        <v>22555.07</v>
      </c>
      <c r="H271" s="2">
        <v>2796829</v>
      </c>
      <c r="I271" s="2">
        <v>113</v>
      </c>
    </row>
    <row r="272" spans="1:9" ht="15.75" customHeight="1">
      <c r="A272" s="2">
        <v>6</v>
      </c>
      <c r="B272" s="2" t="s">
        <v>33</v>
      </c>
      <c r="C272" s="2" t="s">
        <v>34</v>
      </c>
      <c r="D272" s="2" t="s">
        <v>22</v>
      </c>
      <c r="E272" s="2" t="s">
        <v>14</v>
      </c>
      <c r="F272" s="2">
        <v>493</v>
      </c>
      <c r="G272" s="2">
        <v>6313.01</v>
      </c>
      <c r="H272" s="2">
        <v>3112315</v>
      </c>
      <c r="I272" s="2">
        <v>435</v>
      </c>
    </row>
    <row r="273" spans="1:9" ht="15.75" customHeight="1">
      <c r="A273" s="2">
        <v>6</v>
      </c>
      <c r="B273" s="2" t="s">
        <v>33</v>
      </c>
      <c r="C273" s="2" t="s">
        <v>34</v>
      </c>
      <c r="D273" s="2" t="s">
        <v>22</v>
      </c>
      <c r="E273" s="2" t="s">
        <v>15</v>
      </c>
      <c r="F273" s="2">
        <v>928</v>
      </c>
      <c r="G273" s="2">
        <v>1070.49</v>
      </c>
      <c r="H273" s="2">
        <v>993417</v>
      </c>
      <c r="I273" s="2">
        <v>785</v>
      </c>
    </row>
    <row r="274" spans="1:9" ht="15.75" customHeight="1">
      <c r="A274" s="2">
        <v>6</v>
      </c>
      <c r="B274" s="2" t="s">
        <v>33</v>
      </c>
      <c r="C274" s="2" t="s">
        <v>34</v>
      </c>
      <c r="D274" s="2" t="s">
        <v>23</v>
      </c>
      <c r="E274" s="2" t="s">
        <v>12</v>
      </c>
      <c r="F274" s="2">
        <v>778</v>
      </c>
      <c r="G274" s="2">
        <v>5394.34</v>
      </c>
      <c r="H274" s="2">
        <v>4196795</v>
      </c>
      <c r="I274" s="2">
        <v>576</v>
      </c>
    </row>
    <row r="275" spans="1:9" ht="15.75" customHeight="1">
      <c r="A275" s="2">
        <v>6</v>
      </c>
      <c r="B275" s="2" t="s">
        <v>33</v>
      </c>
      <c r="C275" s="2" t="s">
        <v>34</v>
      </c>
      <c r="D275" s="2" t="s">
        <v>23</v>
      </c>
      <c r="E275" s="2" t="s">
        <v>13</v>
      </c>
      <c r="F275" s="2">
        <v>187</v>
      </c>
      <c r="G275" s="2">
        <v>20276.189999999999</v>
      </c>
      <c r="H275" s="2">
        <v>3791647</v>
      </c>
      <c r="I275" s="2">
        <v>145</v>
      </c>
    </row>
    <row r="276" spans="1:9" ht="15.75" customHeight="1">
      <c r="A276" s="2">
        <v>6</v>
      </c>
      <c r="B276" s="2" t="s">
        <v>33</v>
      </c>
      <c r="C276" s="2" t="s">
        <v>34</v>
      </c>
      <c r="D276" s="2" t="s">
        <v>23</v>
      </c>
      <c r="E276" s="2" t="s">
        <v>14</v>
      </c>
      <c r="F276" s="2">
        <v>484</v>
      </c>
      <c r="G276" s="2">
        <v>7254.69</v>
      </c>
      <c r="H276" s="2">
        <v>3511268</v>
      </c>
      <c r="I276" s="2">
        <v>340</v>
      </c>
    </row>
    <row r="277" spans="1:9" ht="15.75" customHeight="1">
      <c r="A277" s="2">
        <v>6</v>
      </c>
      <c r="B277" s="2" t="s">
        <v>33</v>
      </c>
      <c r="C277" s="2" t="s">
        <v>34</v>
      </c>
      <c r="D277" s="2" t="s">
        <v>23</v>
      </c>
      <c r="E277" s="2" t="s">
        <v>15</v>
      </c>
      <c r="F277" s="2">
        <v>868</v>
      </c>
      <c r="G277" s="2">
        <v>1312.66</v>
      </c>
      <c r="H277" s="2">
        <v>1139386</v>
      </c>
      <c r="I277" s="2">
        <v>719</v>
      </c>
    </row>
    <row r="278" spans="1:9" ht="15.75" customHeight="1">
      <c r="A278" s="2">
        <v>6</v>
      </c>
      <c r="B278" s="2" t="s">
        <v>33</v>
      </c>
      <c r="C278" s="2" t="s">
        <v>34</v>
      </c>
      <c r="D278" s="2" t="s">
        <v>24</v>
      </c>
      <c r="E278" s="2" t="s">
        <v>12</v>
      </c>
      <c r="F278" s="2">
        <v>683</v>
      </c>
      <c r="G278" s="2">
        <v>5755.33</v>
      </c>
      <c r="H278" s="2">
        <v>3930891</v>
      </c>
      <c r="I278" s="2">
        <v>625</v>
      </c>
    </row>
    <row r="279" spans="1:9" ht="15.75" customHeight="1">
      <c r="A279" s="2">
        <v>6</v>
      </c>
      <c r="B279" s="2" t="s">
        <v>33</v>
      </c>
      <c r="C279" s="2" t="s">
        <v>34</v>
      </c>
      <c r="D279" s="2" t="s">
        <v>24</v>
      </c>
      <c r="E279" s="2" t="s">
        <v>13</v>
      </c>
      <c r="F279" s="2">
        <v>162</v>
      </c>
      <c r="G279" s="2">
        <v>20196.560000000001</v>
      </c>
      <c r="H279" s="2">
        <v>3271842</v>
      </c>
      <c r="I279" s="2">
        <v>153</v>
      </c>
    </row>
    <row r="280" spans="1:9" ht="15.75" customHeight="1">
      <c r="A280" s="2">
        <v>6</v>
      </c>
      <c r="B280" s="2" t="s">
        <v>33</v>
      </c>
      <c r="C280" s="2" t="s">
        <v>34</v>
      </c>
      <c r="D280" s="2" t="s">
        <v>24</v>
      </c>
      <c r="E280" s="2" t="s">
        <v>14</v>
      </c>
      <c r="F280" s="2">
        <v>248</v>
      </c>
      <c r="G280" s="2">
        <v>6381.92</v>
      </c>
      <c r="H280" s="2">
        <v>1582717</v>
      </c>
      <c r="I280" s="2">
        <v>198</v>
      </c>
    </row>
    <row r="281" spans="1:9" ht="15.75" customHeight="1">
      <c r="A281" s="2">
        <v>6</v>
      </c>
      <c r="B281" s="2" t="s">
        <v>33</v>
      </c>
      <c r="C281" s="2" t="s">
        <v>34</v>
      </c>
      <c r="D281" s="2" t="s">
        <v>24</v>
      </c>
      <c r="E281" s="2" t="s">
        <v>15</v>
      </c>
      <c r="F281" s="2">
        <v>834</v>
      </c>
      <c r="G281" s="2">
        <v>1088.21</v>
      </c>
      <c r="H281" s="2">
        <v>907563</v>
      </c>
      <c r="I281" s="2">
        <v>627</v>
      </c>
    </row>
    <row r="282" spans="1:9" ht="15.75" customHeight="1">
      <c r="A282" s="2">
        <v>6</v>
      </c>
      <c r="B282" s="2" t="s">
        <v>33</v>
      </c>
      <c r="C282" s="2" t="s">
        <v>34</v>
      </c>
      <c r="D282" s="2" t="s">
        <v>25</v>
      </c>
      <c r="E282" s="2" t="s">
        <v>12</v>
      </c>
      <c r="F282" s="2">
        <v>917</v>
      </c>
      <c r="G282" s="2">
        <v>5185.2700000000004</v>
      </c>
      <c r="H282" s="2">
        <v>4754890</v>
      </c>
      <c r="I282" s="2">
        <v>650</v>
      </c>
    </row>
    <row r="283" spans="1:9" ht="15.75" customHeight="1">
      <c r="A283" s="2">
        <v>6</v>
      </c>
      <c r="B283" s="2" t="s">
        <v>33</v>
      </c>
      <c r="C283" s="2" t="s">
        <v>34</v>
      </c>
      <c r="D283" s="2" t="s">
        <v>25</v>
      </c>
      <c r="E283" s="2" t="s">
        <v>13</v>
      </c>
      <c r="F283" s="2">
        <v>129</v>
      </c>
      <c r="G283" s="2">
        <v>21062.51</v>
      </c>
      <c r="H283" s="2">
        <v>2717064</v>
      </c>
      <c r="I283" s="2">
        <v>117</v>
      </c>
    </row>
    <row r="284" spans="1:9" ht="15.75" customHeight="1">
      <c r="A284" s="2">
        <v>6</v>
      </c>
      <c r="B284" s="2" t="s">
        <v>33</v>
      </c>
      <c r="C284" s="2" t="s">
        <v>34</v>
      </c>
      <c r="D284" s="2" t="s">
        <v>25</v>
      </c>
      <c r="E284" s="2" t="s">
        <v>14</v>
      </c>
      <c r="F284" s="2">
        <v>218</v>
      </c>
      <c r="G284" s="2">
        <v>7116.57</v>
      </c>
      <c r="H284" s="2">
        <v>1551413</v>
      </c>
      <c r="I284" s="2">
        <v>176</v>
      </c>
    </row>
    <row r="285" spans="1:9" ht="15.75" customHeight="1">
      <c r="A285" s="2">
        <v>6</v>
      </c>
      <c r="B285" s="2" t="s">
        <v>33</v>
      </c>
      <c r="C285" s="2" t="s">
        <v>34</v>
      </c>
      <c r="D285" s="2" t="s">
        <v>25</v>
      </c>
      <c r="E285" s="2" t="s">
        <v>15</v>
      </c>
      <c r="F285" s="2">
        <v>513</v>
      </c>
      <c r="G285" s="2">
        <v>934.06</v>
      </c>
      <c r="H285" s="2">
        <v>479175</v>
      </c>
      <c r="I285" s="2">
        <v>422</v>
      </c>
    </row>
    <row r="286" spans="1:9" ht="15.75" customHeight="1">
      <c r="A286" s="2">
        <v>6</v>
      </c>
      <c r="B286" s="2" t="s">
        <v>33</v>
      </c>
      <c r="C286" s="2" t="s">
        <v>34</v>
      </c>
      <c r="D286" s="2" t="s">
        <v>26</v>
      </c>
      <c r="E286" s="2" t="s">
        <v>12</v>
      </c>
      <c r="F286" s="2">
        <v>863</v>
      </c>
      <c r="G286" s="2">
        <v>5018.5</v>
      </c>
      <c r="H286" s="2">
        <v>4330963</v>
      </c>
      <c r="I286" s="2">
        <v>743</v>
      </c>
    </row>
    <row r="287" spans="1:9" ht="15.75" customHeight="1">
      <c r="A287" s="2">
        <v>6</v>
      </c>
      <c r="B287" s="2" t="s">
        <v>33</v>
      </c>
      <c r="C287" s="2" t="s">
        <v>34</v>
      </c>
      <c r="D287" s="2" t="s">
        <v>26</v>
      </c>
      <c r="E287" s="2" t="s">
        <v>13</v>
      </c>
      <c r="F287" s="2">
        <v>223</v>
      </c>
      <c r="G287" s="2">
        <v>20877.75</v>
      </c>
      <c r="H287" s="2">
        <v>4655738</v>
      </c>
      <c r="I287" s="2">
        <v>200</v>
      </c>
    </row>
    <row r="288" spans="1:9" ht="15.75" customHeight="1">
      <c r="A288" s="2">
        <v>6</v>
      </c>
      <c r="B288" s="2" t="s">
        <v>33</v>
      </c>
      <c r="C288" s="2" t="s">
        <v>34</v>
      </c>
      <c r="D288" s="2" t="s">
        <v>26</v>
      </c>
      <c r="E288" s="2" t="s">
        <v>14</v>
      </c>
      <c r="F288" s="2">
        <v>254</v>
      </c>
      <c r="G288" s="2">
        <v>6845.59</v>
      </c>
      <c r="H288" s="2">
        <v>1738781</v>
      </c>
      <c r="I288" s="2">
        <v>219</v>
      </c>
    </row>
    <row r="289" spans="1:9" ht="15.75" customHeight="1">
      <c r="A289" s="2">
        <v>6</v>
      </c>
      <c r="B289" s="2" t="s">
        <v>33</v>
      </c>
      <c r="C289" s="2" t="s">
        <v>34</v>
      </c>
      <c r="D289" s="2" t="s">
        <v>26</v>
      </c>
      <c r="E289" s="2" t="s">
        <v>15</v>
      </c>
      <c r="F289" s="2">
        <v>712</v>
      </c>
      <c r="G289" s="2">
        <v>1122.73</v>
      </c>
      <c r="H289" s="2">
        <v>799386</v>
      </c>
      <c r="I289" s="2">
        <v>537</v>
      </c>
    </row>
    <row r="290" spans="1:9" ht="15.75" customHeight="1">
      <c r="A290" s="2">
        <v>7</v>
      </c>
      <c r="B290" s="2" t="s">
        <v>35</v>
      </c>
      <c r="C290" s="2" t="s">
        <v>30</v>
      </c>
      <c r="D290" s="2" t="s">
        <v>11</v>
      </c>
      <c r="E290" s="2" t="s">
        <v>12</v>
      </c>
      <c r="F290" s="2">
        <v>1042</v>
      </c>
      <c r="G290" s="2">
        <v>5814.27</v>
      </c>
      <c r="H290" s="2">
        <v>6058474</v>
      </c>
      <c r="I290" s="2">
        <v>817</v>
      </c>
    </row>
    <row r="291" spans="1:9" ht="15.75" customHeight="1">
      <c r="A291" s="2">
        <v>7</v>
      </c>
      <c r="B291" s="2" t="s">
        <v>35</v>
      </c>
      <c r="C291" s="2" t="s">
        <v>30</v>
      </c>
      <c r="D291" s="2" t="s">
        <v>11</v>
      </c>
      <c r="E291" s="2" t="s">
        <v>13</v>
      </c>
      <c r="F291" s="2">
        <v>166</v>
      </c>
      <c r="G291" s="2">
        <v>21619.200000000001</v>
      </c>
      <c r="H291" s="2">
        <v>3588788</v>
      </c>
      <c r="I291" s="2">
        <v>153</v>
      </c>
    </row>
    <row r="292" spans="1:9" ht="15.75" customHeight="1">
      <c r="A292" s="2">
        <v>7</v>
      </c>
      <c r="B292" s="2" t="s">
        <v>35</v>
      </c>
      <c r="C292" s="2" t="s">
        <v>30</v>
      </c>
      <c r="D292" s="2" t="s">
        <v>11</v>
      </c>
      <c r="E292" s="2" t="s">
        <v>14</v>
      </c>
      <c r="F292" s="2">
        <v>291</v>
      </c>
      <c r="G292" s="2">
        <v>6594.8</v>
      </c>
      <c r="H292" s="2">
        <v>1919086</v>
      </c>
      <c r="I292" s="2">
        <v>221</v>
      </c>
    </row>
    <row r="293" spans="1:9" ht="15.75" customHeight="1">
      <c r="A293" s="2">
        <v>7</v>
      </c>
      <c r="B293" s="2" t="s">
        <v>35</v>
      </c>
      <c r="C293" s="2" t="s">
        <v>30</v>
      </c>
      <c r="D293" s="2" t="s">
        <v>11</v>
      </c>
      <c r="E293" s="2" t="s">
        <v>15</v>
      </c>
      <c r="F293" s="2">
        <v>477</v>
      </c>
      <c r="G293" s="2">
        <v>1177.08</v>
      </c>
      <c r="H293" s="2">
        <v>561466</v>
      </c>
      <c r="I293" s="2">
        <v>405</v>
      </c>
    </row>
    <row r="294" spans="1:9" ht="15.75" customHeight="1">
      <c r="A294" s="2">
        <v>7</v>
      </c>
      <c r="B294" s="2" t="s">
        <v>35</v>
      </c>
      <c r="C294" s="2" t="s">
        <v>30</v>
      </c>
      <c r="D294" s="2" t="s">
        <v>16</v>
      </c>
      <c r="E294" s="2" t="s">
        <v>12</v>
      </c>
      <c r="F294" s="2">
        <v>1090</v>
      </c>
      <c r="G294" s="2">
        <v>5244.84</v>
      </c>
      <c r="H294" s="2">
        <v>5716874</v>
      </c>
      <c r="I294" s="2">
        <v>851</v>
      </c>
    </row>
    <row r="295" spans="1:9" ht="15.75" customHeight="1">
      <c r="A295" s="2">
        <v>7</v>
      </c>
      <c r="B295" s="2" t="s">
        <v>35</v>
      </c>
      <c r="C295" s="2" t="s">
        <v>30</v>
      </c>
      <c r="D295" s="2" t="s">
        <v>16</v>
      </c>
      <c r="E295" s="2" t="s">
        <v>13</v>
      </c>
      <c r="F295" s="2">
        <v>106</v>
      </c>
      <c r="G295" s="2">
        <v>20653.97</v>
      </c>
      <c r="H295" s="2">
        <v>2189321</v>
      </c>
      <c r="I295" s="2">
        <v>90</v>
      </c>
    </row>
    <row r="296" spans="1:9" ht="15.75" customHeight="1">
      <c r="A296" s="2">
        <v>7</v>
      </c>
      <c r="B296" s="2" t="s">
        <v>35</v>
      </c>
      <c r="C296" s="2" t="s">
        <v>30</v>
      </c>
      <c r="D296" s="2" t="s">
        <v>16</v>
      </c>
      <c r="E296" s="2" t="s">
        <v>14</v>
      </c>
      <c r="F296" s="2">
        <v>360</v>
      </c>
      <c r="G296" s="2">
        <v>6797.84</v>
      </c>
      <c r="H296" s="2">
        <v>2447222</v>
      </c>
      <c r="I296" s="2">
        <v>289</v>
      </c>
    </row>
    <row r="297" spans="1:9" ht="15.75" customHeight="1">
      <c r="A297" s="2">
        <v>7</v>
      </c>
      <c r="B297" s="2" t="s">
        <v>35</v>
      </c>
      <c r="C297" s="2" t="s">
        <v>30</v>
      </c>
      <c r="D297" s="2" t="s">
        <v>16</v>
      </c>
      <c r="E297" s="2" t="s">
        <v>15</v>
      </c>
      <c r="F297" s="2">
        <v>913</v>
      </c>
      <c r="G297" s="2">
        <v>1074.8900000000001</v>
      </c>
      <c r="H297" s="2">
        <v>981373</v>
      </c>
      <c r="I297" s="2">
        <v>846</v>
      </c>
    </row>
    <row r="298" spans="1:9" ht="15.75" customHeight="1">
      <c r="A298" s="2">
        <v>7</v>
      </c>
      <c r="B298" s="2" t="s">
        <v>35</v>
      </c>
      <c r="C298" s="2" t="s">
        <v>30</v>
      </c>
      <c r="D298" s="2" t="s">
        <v>17</v>
      </c>
      <c r="E298" s="2" t="s">
        <v>12</v>
      </c>
      <c r="F298" s="2">
        <v>1122</v>
      </c>
      <c r="G298" s="2">
        <v>5159.13</v>
      </c>
      <c r="H298" s="2">
        <v>5788545</v>
      </c>
      <c r="I298" s="2">
        <v>950</v>
      </c>
    </row>
    <row r="299" spans="1:9" ht="15.75" customHeight="1">
      <c r="A299" s="2">
        <v>7</v>
      </c>
      <c r="B299" s="2" t="s">
        <v>35</v>
      </c>
      <c r="C299" s="2" t="s">
        <v>30</v>
      </c>
      <c r="D299" s="2" t="s">
        <v>17</v>
      </c>
      <c r="E299" s="2" t="s">
        <v>13</v>
      </c>
      <c r="F299" s="2">
        <v>239</v>
      </c>
      <c r="G299" s="2">
        <v>20373.23</v>
      </c>
      <c r="H299" s="2">
        <v>4869202</v>
      </c>
      <c r="I299" s="2">
        <v>216</v>
      </c>
    </row>
    <row r="300" spans="1:9" ht="15.75" customHeight="1">
      <c r="A300" s="2">
        <v>7</v>
      </c>
      <c r="B300" s="2" t="s">
        <v>35</v>
      </c>
      <c r="C300" s="2" t="s">
        <v>30</v>
      </c>
      <c r="D300" s="2" t="s">
        <v>17</v>
      </c>
      <c r="E300" s="2" t="s">
        <v>14</v>
      </c>
      <c r="F300" s="2">
        <v>492</v>
      </c>
      <c r="G300" s="2">
        <v>7074.01</v>
      </c>
      <c r="H300" s="2">
        <v>3480412</v>
      </c>
      <c r="I300" s="2">
        <v>398</v>
      </c>
    </row>
    <row r="301" spans="1:9" ht="15.75" customHeight="1">
      <c r="A301" s="2">
        <v>7</v>
      </c>
      <c r="B301" s="2" t="s">
        <v>35</v>
      </c>
      <c r="C301" s="2" t="s">
        <v>30</v>
      </c>
      <c r="D301" s="2" t="s">
        <v>17</v>
      </c>
      <c r="E301" s="2" t="s">
        <v>15</v>
      </c>
      <c r="F301" s="2">
        <v>899</v>
      </c>
      <c r="G301" s="2">
        <v>983.01</v>
      </c>
      <c r="H301" s="2">
        <v>883728</v>
      </c>
      <c r="I301" s="2">
        <v>848</v>
      </c>
    </row>
    <row r="302" spans="1:9" ht="15.75" customHeight="1">
      <c r="A302" s="2">
        <v>7</v>
      </c>
      <c r="B302" s="2" t="s">
        <v>35</v>
      </c>
      <c r="C302" s="2" t="s">
        <v>30</v>
      </c>
      <c r="D302" s="2" t="s">
        <v>18</v>
      </c>
      <c r="E302" s="2" t="s">
        <v>12</v>
      </c>
      <c r="F302" s="2">
        <v>963</v>
      </c>
      <c r="G302" s="2">
        <v>5494.36</v>
      </c>
      <c r="H302" s="2">
        <v>5291073</v>
      </c>
      <c r="I302" s="2">
        <v>866</v>
      </c>
    </row>
    <row r="303" spans="1:9" ht="15.75" customHeight="1">
      <c r="A303" s="2">
        <v>7</v>
      </c>
      <c r="B303" s="2" t="s">
        <v>35</v>
      </c>
      <c r="C303" s="2" t="s">
        <v>30</v>
      </c>
      <c r="D303" s="2" t="s">
        <v>18</v>
      </c>
      <c r="E303" s="2" t="s">
        <v>13</v>
      </c>
      <c r="F303" s="2">
        <v>213</v>
      </c>
      <c r="G303" s="2">
        <v>21475.23</v>
      </c>
      <c r="H303" s="2">
        <v>4574225</v>
      </c>
      <c r="I303" s="2">
        <v>150</v>
      </c>
    </row>
    <row r="304" spans="1:9" ht="15.75" customHeight="1">
      <c r="A304" s="2">
        <v>7</v>
      </c>
      <c r="B304" s="2" t="s">
        <v>35</v>
      </c>
      <c r="C304" s="2" t="s">
        <v>30</v>
      </c>
      <c r="D304" s="2" t="s">
        <v>18</v>
      </c>
      <c r="E304" s="2" t="s">
        <v>14</v>
      </c>
      <c r="F304" s="2">
        <v>213</v>
      </c>
      <c r="G304" s="2">
        <v>6960.92</v>
      </c>
      <c r="H304" s="2">
        <v>1482676</v>
      </c>
      <c r="I304" s="2">
        <v>170</v>
      </c>
    </row>
    <row r="305" spans="1:9" ht="15.75" customHeight="1">
      <c r="A305" s="2">
        <v>7</v>
      </c>
      <c r="B305" s="2" t="s">
        <v>35</v>
      </c>
      <c r="C305" s="2" t="s">
        <v>30</v>
      </c>
      <c r="D305" s="2" t="s">
        <v>18</v>
      </c>
      <c r="E305" s="2" t="s">
        <v>15</v>
      </c>
      <c r="F305" s="2">
        <v>600</v>
      </c>
      <c r="G305" s="2">
        <v>1305.71</v>
      </c>
      <c r="H305" s="2">
        <v>783427</v>
      </c>
      <c r="I305" s="2">
        <v>440</v>
      </c>
    </row>
    <row r="306" spans="1:9" ht="15.75" customHeight="1">
      <c r="A306" s="2">
        <v>7</v>
      </c>
      <c r="B306" s="2" t="s">
        <v>35</v>
      </c>
      <c r="C306" s="2" t="s">
        <v>30</v>
      </c>
      <c r="D306" s="2" t="s">
        <v>19</v>
      </c>
      <c r="E306" s="2" t="s">
        <v>12</v>
      </c>
      <c r="F306" s="2">
        <v>834</v>
      </c>
      <c r="G306" s="2">
        <v>5091.1000000000004</v>
      </c>
      <c r="H306" s="2">
        <v>4245978</v>
      </c>
      <c r="I306" s="2">
        <v>771</v>
      </c>
    </row>
    <row r="307" spans="1:9" ht="15.75" customHeight="1">
      <c r="A307" s="2">
        <v>7</v>
      </c>
      <c r="B307" s="2" t="s">
        <v>35</v>
      </c>
      <c r="C307" s="2" t="s">
        <v>30</v>
      </c>
      <c r="D307" s="2" t="s">
        <v>19</v>
      </c>
      <c r="E307" s="2" t="s">
        <v>13</v>
      </c>
      <c r="F307" s="2">
        <v>197</v>
      </c>
      <c r="G307" s="2">
        <v>21322.080000000002</v>
      </c>
      <c r="H307" s="2">
        <v>4200451</v>
      </c>
      <c r="I307" s="2">
        <v>151</v>
      </c>
    </row>
    <row r="308" spans="1:9" ht="15.75" customHeight="1">
      <c r="A308" s="2">
        <v>7</v>
      </c>
      <c r="B308" s="2" t="s">
        <v>35</v>
      </c>
      <c r="C308" s="2" t="s">
        <v>30</v>
      </c>
      <c r="D308" s="2" t="s">
        <v>19</v>
      </c>
      <c r="E308" s="2" t="s">
        <v>14</v>
      </c>
      <c r="F308" s="2">
        <v>274</v>
      </c>
      <c r="G308" s="2">
        <v>6736.19</v>
      </c>
      <c r="H308" s="2">
        <v>1845717</v>
      </c>
      <c r="I308" s="2">
        <v>247</v>
      </c>
    </row>
    <row r="309" spans="1:9" ht="15.75" customHeight="1">
      <c r="A309" s="2">
        <v>7</v>
      </c>
      <c r="B309" s="2" t="s">
        <v>35</v>
      </c>
      <c r="C309" s="2" t="s">
        <v>30</v>
      </c>
      <c r="D309" s="2" t="s">
        <v>19</v>
      </c>
      <c r="E309" s="2" t="s">
        <v>15</v>
      </c>
      <c r="F309" s="2">
        <v>440</v>
      </c>
      <c r="G309" s="2">
        <v>1331.21</v>
      </c>
      <c r="H309" s="2">
        <v>585732</v>
      </c>
      <c r="I309" s="2">
        <v>338</v>
      </c>
    </row>
    <row r="310" spans="1:9" ht="15.75" customHeight="1">
      <c r="A310" s="2">
        <v>7</v>
      </c>
      <c r="B310" s="2" t="s">
        <v>35</v>
      </c>
      <c r="C310" s="2" t="s">
        <v>30</v>
      </c>
      <c r="D310" s="2" t="s">
        <v>20</v>
      </c>
      <c r="E310" s="2" t="s">
        <v>12</v>
      </c>
      <c r="F310" s="2">
        <v>616</v>
      </c>
      <c r="G310" s="2">
        <v>5286.2</v>
      </c>
      <c r="H310" s="2">
        <v>3256302</v>
      </c>
      <c r="I310" s="2">
        <v>542</v>
      </c>
    </row>
    <row r="311" spans="1:9" ht="15.75" customHeight="1">
      <c r="A311" s="2">
        <v>7</v>
      </c>
      <c r="B311" s="2" t="s">
        <v>35</v>
      </c>
      <c r="C311" s="2" t="s">
        <v>30</v>
      </c>
      <c r="D311" s="2" t="s">
        <v>20</v>
      </c>
      <c r="E311" s="2" t="s">
        <v>13</v>
      </c>
      <c r="F311" s="2">
        <v>216</v>
      </c>
      <c r="G311" s="2">
        <v>19437.43</v>
      </c>
      <c r="H311" s="2">
        <v>4198484</v>
      </c>
      <c r="I311" s="2">
        <v>151</v>
      </c>
    </row>
    <row r="312" spans="1:9" ht="15.75" customHeight="1">
      <c r="A312" s="2">
        <v>7</v>
      </c>
      <c r="B312" s="2" t="s">
        <v>35</v>
      </c>
      <c r="C312" s="2" t="s">
        <v>30</v>
      </c>
      <c r="D312" s="2" t="s">
        <v>20</v>
      </c>
      <c r="E312" s="2" t="s">
        <v>14</v>
      </c>
      <c r="F312" s="2">
        <v>226</v>
      </c>
      <c r="G312" s="2">
        <v>7186.16</v>
      </c>
      <c r="H312" s="2">
        <v>1624072</v>
      </c>
      <c r="I312" s="2">
        <v>195</v>
      </c>
    </row>
    <row r="313" spans="1:9" ht="15.75" customHeight="1">
      <c r="A313" s="2">
        <v>7</v>
      </c>
      <c r="B313" s="2" t="s">
        <v>35</v>
      </c>
      <c r="C313" s="2" t="s">
        <v>30</v>
      </c>
      <c r="D313" s="2" t="s">
        <v>20</v>
      </c>
      <c r="E313" s="2" t="s">
        <v>15</v>
      </c>
      <c r="F313" s="2">
        <v>854</v>
      </c>
      <c r="G313" s="2">
        <v>1357.05</v>
      </c>
      <c r="H313" s="2">
        <v>1158920</v>
      </c>
      <c r="I313" s="2">
        <v>720</v>
      </c>
    </row>
    <row r="314" spans="1:9" ht="15.75" customHeight="1">
      <c r="A314" s="2">
        <v>7</v>
      </c>
      <c r="B314" s="2" t="s">
        <v>35</v>
      </c>
      <c r="C314" s="2" t="s">
        <v>30</v>
      </c>
      <c r="D314" s="2" t="s">
        <v>21</v>
      </c>
      <c r="E314" s="2" t="s">
        <v>12</v>
      </c>
      <c r="F314" s="2">
        <v>1000</v>
      </c>
      <c r="G314" s="2">
        <v>4931.83</v>
      </c>
      <c r="H314" s="2">
        <v>4931825</v>
      </c>
      <c r="I314" s="2">
        <v>829</v>
      </c>
    </row>
    <row r="315" spans="1:9" ht="15.75" customHeight="1">
      <c r="A315" s="2">
        <v>7</v>
      </c>
      <c r="B315" s="2" t="s">
        <v>35</v>
      </c>
      <c r="C315" s="2" t="s">
        <v>30</v>
      </c>
      <c r="D315" s="2" t="s">
        <v>21</v>
      </c>
      <c r="E315" s="2" t="s">
        <v>13</v>
      </c>
      <c r="F315" s="2">
        <v>163</v>
      </c>
      <c r="G315" s="2">
        <v>20476.34</v>
      </c>
      <c r="H315" s="2">
        <v>3337643</v>
      </c>
      <c r="I315" s="2">
        <v>128</v>
      </c>
    </row>
    <row r="316" spans="1:9" ht="15.75" customHeight="1">
      <c r="A316" s="2">
        <v>7</v>
      </c>
      <c r="B316" s="2" t="s">
        <v>35</v>
      </c>
      <c r="C316" s="2" t="s">
        <v>30</v>
      </c>
      <c r="D316" s="2" t="s">
        <v>21</v>
      </c>
      <c r="E316" s="2" t="s">
        <v>14</v>
      </c>
      <c r="F316" s="2">
        <v>392</v>
      </c>
      <c r="G316" s="2">
        <v>6756.03</v>
      </c>
      <c r="H316" s="2">
        <v>2648364</v>
      </c>
      <c r="I316" s="2">
        <v>298</v>
      </c>
    </row>
    <row r="317" spans="1:9" ht="15.75" customHeight="1">
      <c r="A317" s="2">
        <v>7</v>
      </c>
      <c r="B317" s="2" t="s">
        <v>35</v>
      </c>
      <c r="C317" s="2" t="s">
        <v>30</v>
      </c>
      <c r="D317" s="2" t="s">
        <v>21</v>
      </c>
      <c r="E317" s="2" t="s">
        <v>15</v>
      </c>
      <c r="F317" s="2">
        <v>548</v>
      </c>
      <c r="G317" s="2">
        <v>1124.46</v>
      </c>
      <c r="H317" s="2">
        <v>616205</v>
      </c>
      <c r="I317" s="2">
        <v>498</v>
      </c>
    </row>
    <row r="318" spans="1:9" ht="15.75" customHeight="1">
      <c r="A318" s="2">
        <v>7</v>
      </c>
      <c r="B318" s="2" t="s">
        <v>35</v>
      </c>
      <c r="C318" s="2" t="s">
        <v>30</v>
      </c>
      <c r="D318" s="2" t="s">
        <v>22</v>
      </c>
      <c r="E318" s="2" t="s">
        <v>12</v>
      </c>
      <c r="F318" s="2">
        <v>610</v>
      </c>
      <c r="G318" s="2">
        <v>5568.26</v>
      </c>
      <c r="H318" s="2">
        <v>3396640</v>
      </c>
      <c r="I318" s="2">
        <v>472</v>
      </c>
    </row>
    <row r="319" spans="1:9" ht="15.75" customHeight="1">
      <c r="A319" s="2">
        <v>7</v>
      </c>
      <c r="B319" s="2" t="s">
        <v>35</v>
      </c>
      <c r="C319" s="2" t="s">
        <v>30</v>
      </c>
      <c r="D319" s="2" t="s">
        <v>22</v>
      </c>
      <c r="E319" s="2" t="s">
        <v>13</v>
      </c>
      <c r="F319" s="2">
        <v>153</v>
      </c>
      <c r="G319" s="2">
        <v>20792.98</v>
      </c>
      <c r="H319" s="2">
        <v>3181326</v>
      </c>
      <c r="I319" s="2">
        <v>125</v>
      </c>
    </row>
    <row r="320" spans="1:9" ht="15.75" customHeight="1">
      <c r="A320" s="2">
        <v>7</v>
      </c>
      <c r="B320" s="2" t="s">
        <v>35</v>
      </c>
      <c r="C320" s="2" t="s">
        <v>30</v>
      </c>
      <c r="D320" s="2" t="s">
        <v>22</v>
      </c>
      <c r="E320" s="2" t="s">
        <v>14</v>
      </c>
      <c r="F320" s="2">
        <v>310</v>
      </c>
      <c r="G320" s="2">
        <v>6173.56</v>
      </c>
      <c r="H320" s="2">
        <v>1913805</v>
      </c>
      <c r="I320" s="2">
        <v>258</v>
      </c>
    </row>
    <row r="321" spans="1:9" ht="15.75" customHeight="1">
      <c r="A321" s="2">
        <v>7</v>
      </c>
      <c r="B321" s="2" t="s">
        <v>35</v>
      </c>
      <c r="C321" s="2" t="s">
        <v>30</v>
      </c>
      <c r="D321" s="2" t="s">
        <v>22</v>
      </c>
      <c r="E321" s="2" t="s">
        <v>15</v>
      </c>
      <c r="F321" s="2">
        <v>866</v>
      </c>
      <c r="G321" s="2">
        <v>1187.6099999999999</v>
      </c>
      <c r="H321" s="2">
        <v>1028471</v>
      </c>
      <c r="I321" s="2">
        <v>735</v>
      </c>
    </row>
    <row r="322" spans="1:9" ht="15.75" customHeight="1">
      <c r="A322" s="2">
        <v>7</v>
      </c>
      <c r="B322" s="2" t="s">
        <v>35</v>
      </c>
      <c r="C322" s="2" t="s">
        <v>30</v>
      </c>
      <c r="D322" s="2" t="s">
        <v>23</v>
      </c>
      <c r="E322" s="2" t="s">
        <v>12</v>
      </c>
      <c r="F322" s="2">
        <v>1090</v>
      </c>
      <c r="G322" s="2">
        <v>5374.92</v>
      </c>
      <c r="H322" s="2">
        <v>5858660</v>
      </c>
      <c r="I322" s="2">
        <v>892</v>
      </c>
    </row>
    <row r="323" spans="1:9" ht="15.75" customHeight="1">
      <c r="A323" s="2">
        <v>7</v>
      </c>
      <c r="B323" s="2" t="s">
        <v>35</v>
      </c>
      <c r="C323" s="2" t="s">
        <v>30</v>
      </c>
      <c r="D323" s="2" t="s">
        <v>23</v>
      </c>
      <c r="E323" s="2" t="s">
        <v>13</v>
      </c>
      <c r="F323" s="2">
        <v>172</v>
      </c>
      <c r="G323" s="2">
        <v>20660.939999999999</v>
      </c>
      <c r="H323" s="2">
        <v>3553681</v>
      </c>
      <c r="I323" s="2">
        <v>123</v>
      </c>
    </row>
    <row r="324" spans="1:9" ht="15.75" customHeight="1">
      <c r="A324" s="2">
        <v>7</v>
      </c>
      <c r="B324" s="2" t="s">
        <v>35</v>
      </c>
      <c r="C324" s="2" t="s">
        <v>30</v>
      </c>
      <c r="D324" s="2" t="s">
        <v>23</v>
      </c>
      <c r="E324" s="2" t="s">
        <v>14</v>
      </c>
      <c r="F324" s="2">
        <v>216</v>
      </c>
      <c r="G324" s="2">
        <v>7196.49</v>
      </c>
      <c r="H324" s="2">
        <v>1554443</v>
      </c>
      <c r="I324" s="2">
        <v>183</v>
      </c>
    </row>
    <row r="325" spans="1:9" ht="15.75" customHeight="1">
      <c r="A325" s="2">
        <v>7</v>
      </c>
      <c r="B325" s="2" t="s">
        <v>35</v>
      </c>
      <c r="C325" s="2" t="s">
        <v>30</v>
      </c>
      <c r="D325" s="2" t="s">
        <v>23</v>
      </c>
      <c r="E325" s="2" t="s">
        <v>15</v>
      </c>
      <c r="F325" s="2">
        <v>424</v>
      </c>
      <c r="G325" s="2">
        <v>1129.57</v>
      </c>
      <c r="H325" s="2">
        <v>478939</v>
      </c>
      <c r="I325" s="2">
        <v>322</v>
      </c>
    </row>
    <row r="326" spans="1:9" ht="15.75" customHeight="1">
      <c r="A326" s="2">
        <v>7</v>
      </c>
      <c r="B326" s="2" t="s">
        <v>35</v>
      </c>
      <c r="C326" s="2" t="s">
        <v>30</v>
      </c>
      <c r="D326" s="2" t="s">
        <v>24</v>
      </c>
      <c r="E326" s="2" t="s">
        <v>12</v>
      </c>
      <c r="F326" s="2">
        <v>730</v>
      </c>
      <c r="G326" s="2">
        <v>5238.4399999999996</v>
      </c>
      <c r="H326" s="2">
        <v>3824063</v>
      </c>
      <c r="I326" s="2">
        <v>658</v>
      </c>
    </row>
    <row r="327" spans="1:9" ht="15.75" customHeight="1">
      <c r="A327" s="2">
        <v>7</v>
      </c>
      <c r="B327" s="2" t="s">
        <v>35</v>
      </c>
      <c r="C327" s="2" t="s">
        <v>30</v>
      </c>
      <c r="D327" s="2" t="s">
        <v>24</v>
      </c>
      <c r="E327" s="2" t="s">
        <v>13</v>
      </c>
      <c r="F327" s="2">
        <v>148</v>
      </c>
      <c r="G327" s="2">
        <v>20972.880000000001</v>
      </c>
      <c r="H327" s="2">
        <v>3103986</v>
      </c>
      <c r="I327" s="2">
        <v>108</v>
      </c>
    </row>
    <row r="328" spans="1:9" ht="15.75" customHeight="1">
      <c r="A328" s="2">
        <v>7</v>
      </c>
      <c r="B328" s="2" t="s">
        <v>35</v>
      </c>
      <c r="C328" s="2" t="s">
        <v>30</v>
      </c>
      <c r="D328" s="2" t="s">
        <v>24</v>
      </c>
      <c r="E328" s="2" t="s">
        <v>14</v>
      </c>
      <c r="F328" s="2">
        <v>256</v>
      </c>
      <c r="G328" s="2">
        <v>6304.2</v>
      </c>
      <c r="H328" s="2">
        <v>1613874</v>
      </c>
      <c r="I328" s="2">
        <v>213</v>
      </c>
    </row>
    <row r="329" spans="1:9" ht="15.75" customHeight="1">
      <c r="A329" s="2">
        <v>7</v>
      </c>
      <c r="B329" s="2" t="s">
        <v>35</v>
      </c>
      <c r="C329" s="2" t="s">
        <v>30</v>
      </c>
      <c r="D329" s="2" t="s">
        <v>24</v>
      </c>
      <c r="E329" s="2" t="s">
        <v>15</v>
      </c>
      <c r="F329" s="2">
        <v>615</v>
      </c>
      <c r="G329" s="2">
        <v>1177.3800000000001</v>
      </c>
      <c r="H329" s="2">
        <v>724086</v>
      </c>
      <c r="I329" s="2">
        <v>547</v>
      </c>
    </row>
    <row r="330" spans="1:9" ht="15.75" customHeight="1">
      <c r="A330" s="2">
        <v>7</v>
      </c>
      <c r="B330" s="2" t="s">
        <v>35</v>
      </c>
      <c r="C330" s="2" t="s">
        <v>30</v>
      </c>
      <c r="D330" s="2" t="s">
        <v>25</v>
      </c>
      <c r="E330" s="2" t="s">
        <v>12</v>
      </c>
      <c r="F330" s="2">
        <v>680</v>
      </c>
      <c r="G330" s="2">
        <v>5557.25</v>
      </c>
      <c r="H330" s="2">
        <v>3778933</v>
      </c>
      <c r="I330" s="2">
        <v>620</v>
      </c>
    </row>
    <row r="331" spans="1:9" ht="15.75" customHeight="1">
      <c r="A331" s="2">
        <v>7</v>
      </c>
      <c r="B331" s="2" t="s">
        <v>35</v>
      </c>
      <c r="C331" s="2" t="s">
        <v>30</v>
      </c>
      <c r="D331" s="2" t="s">
        <v>25</v>
      </c>
      <c r="E331" s="2" t="s">
        <v>13</v>
      </c>
      <c r="F331" s="2">
        <v>124</v>
      </c>
      <c r="G331" s="2">
        <v>22349.77</v>
      </c>
      <c r="H331" s="2">
        <v>2771371</v>
      </c>
      <c r="I331" s="2">
        <v>114</v>
      </c>
    </row>
    <row r="332" spans="1:9" ht="15.75" customHeight="1">
      <c r="A332" s="2">
        <v>7</v>
      </c>
      <c r="B332" s="2" t="s">
        <v>35</v>
      </c>
      <c r="C332" s="2" t="s">
        <v>30</v>
      </c>
      <c r="D332" s="2" t="s">
        <v>25</v>
      </c>
      <c r="E332" s="2" t="s">
        <v>14</v>
      </c>
      <c r="F332" s="2">
        <v>467</v>
      </c>
      <c r="G332" s="2">
        <v>6828.89</v>
      </c>
      <c r="H332" s="2">
        <v>3189090</v>
      </c>
      <c r="I332" s="2">
        <v>347</v>
      </c>
    </row>
    <row r="333" spans="1:9" ht="15.75" customHeight="1">
      <c r="A333" s="2">
        <v>7</v>
      </c>
      <c r="B333" s="2" t="s">
        <v>35</v>
      </c>
      <c r="C333" s="2" t="s">
        <v>30</v>
      </c>
      <c r="D333" s="2" t="s">
        <v>25</v>
      </c>
      <c r="E333" s="2" t="s">
        <v>15</v>
      </c>
      <c r="F333" s="2">
        <v>485</v>
      </c>
      <c r="G333" s="2">
        <v>1220.77</v>
      </c>
      <c r="H333" s="2">
        <v>592073</v>
      </c>
      <c r="I333" s="2">
        <v>450</v>
      </c>
    </row>
    <row r="334" spans="1:9" ht="15.75" customHeight="1">
      <c r="A334" s="2">
        <v>7</v>
      </c>
      <c r="B334" s="2" t="s">
        <v>35</v>
      </c>
      <c r="C334" s="2" t="s">
        <v>30</v>
      </c>
      <c r="D334" s="2" t="s">
        <v>26</v>
      </c>
      <c r="E334" s="2" t="s">
        <v>12</v>
      </c>
      <c r="F334" s="2">
        <v>934</v>
      </c>
      <c r="G334" s="2">
        <v>5083.79</v>
      </c>
      <c r="H334" s="2">
        <v>4748259</v>
      </c>
      <c r="I334" s="2">
        <v>869</v>
      </c>
    </row>
    <row r="335" spans="1:9" ht="15.75" customHeight="1">
      <c r="A335" s="2">
        <v>7</v>
      </c>
      <c r="B335" s="2" t="s">
        <v>35</v>
      </c>
      <c r="C335" s="2" t="s">
        <v>30</v>
      </c>
      <c r="D335" s="2" t="s">
        <v>26</v>
      </c>
      <c r="E335" s="2" t="s">
        <v>13</v>
      </c>
      <c r="F335" s="2">
        <v>158</v>
      </c>
      <c r="G335" s="2">
        <v>22342.52</v>
      </c>
      <c r="H335" s="2">
        <v>3530119</v>
      </c>
      <c r="I335" s="2">
        <v>147</v>
      </c>
    </row>
    <row r="336" spans="1:9" ht="15.75" customHeight="1">
      <c r="A336" s="2">
        <v>7</v>
      </c>
      <c r="B336" s="2" t="s">
        <v>35</v>
      </c>
      <c r="C336" s="2" t="s">
        <v>30</v>
      </c>
      <c r="D336" s="2" t="s">
        <v>26</v>
      </c>
      <c r="E336" s="2" t="s">
        <v>14</v>
      </c>
      <c r="F336" s="2">
        <v>281</v>
      </c>
      <c r="G336" s="2">
        <v>7106.99</v>
      </c>
      <c r="H336" s="2">
        <v>1997064</v>
      </c>
      <c r="I336" s="2">
        <v>241</v>
      </c>
    </row>
    <row r="337" spans="1:9" ht="15.75" customHeight="1">
      <c r="A337" s="2">
        <v>7</v>
      </c>
      <c r="B337" s="2" t="s">
        <v>35</v>
      </c>
      <c r="C337" s="2" t="s">
        <v>30</v>
      </c>
      <c r="D337" s="2" t="s">
        <v>26</v>
      </c>
      <c r="E337" s="2" t="s">
        <v>15</v>
      </c>
      <c r="F337" s="2">
        <v>925</v>
      </c>
      <c r="G337" s="2">
        <v>928.75</v>
      </c>
      <c r="H337" s="2">
        <v>859095</v>
      </c>
      <c r="I337" s="2">
        <v>785</v>
      </c>
    </row>
    <row r="338" spans="1:9" ht="15.75" customHeight="1">
      <c r="A338" s="2">
        <v>8</v>
      </c>
      <c r="B338" s="2" t="s">
        <v>36</v>
      </c>
      <c r="C338" s="2" t="s">
        <v>30</v>
      </c>
      <c r="D338" s="2" t="s">
        <v>11</v>
      </c>
      <c r="E338" s="2" t="s">
        <v>12</v>
      </c>
      <c r="F338" s="2">
        <v>787</v>
      </c>
      <c r="G338" s="2">
        <v>5503.78</v>
      </c>
      <c r="H338" s="2">
        <v>4331473</v>
      </c>
      <c r="I338" s="2">
        <v>655</v>
      </c>
    </row>
    <row r="339" spans="1:9" ht="15.75" customHeight="1">
      <c r="A339" s="2">
        <v>8</v>
      </c>
      <c r="B339" s="2" t="s">
        <v>36</v>
      </c>
      <c r="C339" s="2" t="s">
        <v>30</v>
      </c>
      <c r="D339" s="2" t="s">
        <v>11</v>
      </c>
      <c r="E339" s="2" t="s">
        <v>13</v>
      </c>
      <c r="F339" s="2">
        <v>207</v>
      </c>
      <c r="G339" s="2">
        <v>21459.9</v>
      </c>
      <c r="H339" s="2">
        <v>4442200</v>
      </c>
      <c r="I339" s="2">
        <v>174</v>
      </c>
    </row>
    <row r="340" spans="1:9" ht="15.75" customHeight="1">
      <c r="A340" s="2">
        <v>8</v>
      </c>
      <c r="B340" s="2" t="s">
        <v>36</v>
      </c>
      <c r="C340" s="2" t="s">
        <v>30</v>
      </c>
      <c r="D340" s="2" t="s">
        <v>11</v>
      </c>
      <c r="E340" s="2" t="s">
        <v>14</v>
      </c>
      <c r="F340" s="2">
        <v>203</v>
      </c>
      <c r="G340" s="2">
        <v>6504.82</v>
      </c>
      <c r="H340" s="2">
        <v>1320479</v>
      </c>
      <c r="I340" s="2">
        <v>173</v>
      </c>
    </row>
    <row r="341" spans="1:9" ht="15.75" customHeight="1">
      <c r="A341" s="2">
        <v>8</v>
      </c>
      <c r="B341" s="2" t="s">
        <v>36</v>
      </c>
      <c r="C341" s="2" t="s">
        <v>30</v>
      </c>
      <c r="D341" s="2" t="s">
        <v>11</v>
      </c>
      <c r="E341" s="2" t="s">
        <v>15</v>
      </c>
      <c r="F341" s="2">
        <v>415</v>
      </c>
      <c r="G341" s="2">
        <v>1304.3499999999999</v>
      </c>
      <c r="H341" s="2">
        <v>541307</v>
      </c>
      <c r="I341" s="2">
        <v>334</v>
      </c>
    </row>
    <row r="342" spans="1:9" ht="15.75" customHeight="1">
      <c r="A342" s="2">
        <v>8</v>
      </c>
      <c r="B342" s="2" t="s">
        <v>36</v>
      </c>
      <c r="C342" s="2" t="s">
        <v>30</v>
      </c>
      <c r="D342" s="2" t="s">
        <v>16</v>
      </c>
      <c r="E342" s="2" t="s">
        <v>12</v>
      </c>
      <c r="F342" s="2">
        <v>707</v>
      </c>
      <c r="G342" s="2">
        <v>5316.46</v>
      </c>
      <c r="H342" s="2">
        <v>3758735</v>
      </c>
      <c r="I342" s="2">
        <v>660</v>
      </c>
    </row>
    <row r="343" spans="1:9" ht="15.75" customHeight="1">
      <c r="A343" s="2">
        <v>8</v>
      </c>
      <c r="B343" s="2" t="s">
        <v>36</v>
      </c>
      <c r="C343" s="2" t="s">
        <v>30</v>
      </c>
      <c r="D343" s="2" t="s">
        <v>16</v>
      </c>
      <c r="E343" s="2" t="s">
        <v>13</v>
      </c>
      <c r="F343" s="2">
        <v>222</v>
      </c>
      <c r="G343" s="2">
        <v>22352.38</v>
      </c>
      <c r="H343" s="2">
        <v>4962229</v>
      </c>
      <c r="I343" s="2">
        <v>210</v>
      </c>
    </row>
    <row r="344" spans="1:9" ht="15.75" customHeight="1">
      <c r="A344" s="2">
        <v>8</v>
      </c>
      <c r="B344" s="2" t="s">
        <v>36</v>
      </c>
      <c r="C344" s="2" t="s">
        <v>30</v>
      </c>
      <c r="D344" s="2" t="s">
        <v>16</v>
      </c>
      <c r="E344" s="2" t="s">
        <v>14</v>
      </c>
      <c r="F344" s="2">
        <v>228</v>
      </c>
      <c r="G344" s="2">
        <v>6544.81</v>
      </c>
      <c r="H344" s="2">
        <v>1492217</v>
      </c>
      <c r="I344" s="2">
        <v>186</v>
      </c>
    </row>
    <row r="345" spans="1:9" ht="15.75" customHeight="1">
      <c r="A345" s="2">
        <v>8</v>
      </c>
      <c r="B345" s="2" t="s">
        <v>36</v>
      </c>
      <c r="C345" s="2" t="s">
        <v>30</v>
      </c>
      <c r="D345" s="2" t="s">
        <v>16</v>
      </c>
      <c r="E345" s="2" t="s">
        <v>15</v>
      </c>
      <c r="F345" s="2">
        <v>1096</v>
      </c>
      <c r="G345" s="2">
        <v>1340.93</v>
      </c>
      <c r="H345" s="2">
        <v>1469664</v>
      </c>
      <c r="I345" s="2">
        <v>926</v>
      </c>
    </row>
    <row r="346" spans="1:9" ht="15.75" customHeight="1">
      <c r="A346" s="2">
        <v>8</v>
      </c>
      <c r="B346" s="2" t="s">
        <v>36</v>
      </c>
      <c r="C346" s="2" t="s">
        <v>30</v>
      </c>
      <c r="D346" s="2" t="s">
        <v>17</v>
      </c>
      <c r="E346" s="2" t="s">
        <v>12</v>
      </c>
      <c r="F346" s="2">
        <v>838</v>
      </c>
      <c r="G346" s="2">
        <v>5138.79</v>
      </c>
      <c r="H346" s="2">
        <v>4306309</v>
      </c>
      <c r="I346" s="2">
        <v>657</v>
      </c>
    </row>
    <row r="347" spans="1:9" ht="15.75" customHeight="1">
      <c r="A347" s="2">
        <v>8</v>
      </c>
      <c r="B347" s="2" t="s">
        <v>36</v>
      </c>
      <c r="C347" s="2" t="s">
        <v>30</v>
      </c>
      <c r="D347" s="2" t="s">
        <v>17</v>
      </c>
      <c r="E347" s="2" t="s">
        <v>13</v>
      </c>
      <c r="F347" s="2">
        <v>183</v>
      </c>
      <c r="G347" s="2">
        <v>21339.37</v>
      </c>
      <c r="H347" s="2">
        <v>3905104</v>
      </c>
      <c r="I347" s="2">
        <v>161</v>
      </c>
    </row>
    <row r="348" spans="1:9" ht="15.75" customHeight="1">
      <c r="A348" s="2">
        <v>8</v>
      </c>
      <c r="B348" s="2" t="s">
        <v>36</v>
      </c>
      <c r="C348" s="2" t="s">
        <v>30</v>
      </c>
      <c r="D348" s="2" t="s">
        <v>17</v>
      </c>
      <c r="E348" s="2" t="s">
        <v>14</v>
      </c>
      <c r="F348" s="2">
        <v>376</v>
      </c>
      <c r="G348" s="2">
        <v>6609.89</v>
      </c>
      <c r="H348" s="2">
        <v>2485319</v>
      </c>
      <c r="I348" s="2">
        <v>290</v>
      </c>
    </row>
    <row r="349" spans="1:9" ht="15.75" customHeight="1">
      <c r="A349" s="2">
        <v>8</v>
      </c>
      <c r="B349" s="2" t="s">
        <v>36</v>
      </c>
      <c r="C349" s="2" t="s">
        <v>30</v>
      </c>
      <c r="D349" s="2" t="s">
        <v>17</v>
      </c>
      <c r="E349" s="2" t="s">
        <v>15</v>
      </c>
      <c r="F349" s="2">
        <v>723</v>
      </c>
      <c r="G349" s="2">
        <v>1119.52</v>
      </c>
      <c r="H349" s="2">
        <v>809414</v>
      </c>
      <c r="I349" s="2">
        <v>635</v>
      </c>
    </row>
    <row r="350" spans="1:9" ht="15.75" customHeight="1">
      <c r="A350" s="2">
        <v>8</v>
      </c>
      <c r="B350" s="2" t="s">
        <v>36</v>
      </c>
      <c r="C350" s="2" t="s">
        <v>30</v>
      </c>
      <c r="D350" s="2" t="s">
        <v>18</v>
      </c>
      <c r="E350" s="2" t="s">
        <v>12</v>
      </c>
      <c r="F350" s="2">
        <v>892</v>
      </c>
      <c r="G350" s="2">
        <v>5293.06</v>
      </c>
      <c r="H350" s="2">
        <v>4721412</v>
      </c>
      <c r="I350" s="2">
        <v>710</v>
      </c>
    </row>
    <row r="351" spans="1:9" ht="15.75" customHeight="1">
      <c r="A351" s="2">
        <v>8</v>
      </c>
      <c r="B351" s="2" t="s">
        <v>36</v>
      </c>
      <c r="C351" s="2" t="s">
        <v>30</v>
      </c>
      <c r="D351" s="2" t="s">
        <v>18</v>
      </c>
      <c r="E351" s="2" t="s">
        <v>13</v>
      </c>
      <c r="F351" s="2">
        <v>187</v>
      </c>
      <c r="G351" s="2">
        <v>21687.37</v>
      </c>
      <c r="H351" s="2">
        <v>4055539</v>
      </c>
      <c r="I351" s="2">
        <v>136</v>
      </c>
    </row>
    <row r="352" spans="1:9" ht="15.75" customHeight="1">
      <c r="A352" s="2">
        <v>8</v>
      </c>
      <c r="B352" s="2" t="s">
        <v>36</v>
      </c>
      <c r="C352" s="2" t="s">
        <v>30</v>
      </c>
      <c r="D352" s="2" t="s">
        <v>18</v>
      </c>
      <c r="E352" s="2" t="s">
        <v>14</v>
      </c>
      <c r="F352" s="2">
        <v>386</v>
      </c>
      <c r="G352" s="2">
        <v>6650.28</v>
      </c>
      <c r="H352" s="2">
        <v>2567009</v>
      </c>
      <c r="I352" s="2">
        <v>355</v>
      </c>
    </row>
    <row r="353" spans="1:9" ht="15.75" customHeight="1">
      <c r="A353" s="2">
        <v>8</v>
      </c>
      <c r="B353" s="2" t="s">
        <v>36</v>
      </c>
      <c r="C353" s="2" t="s">
        <v>30</v>
      </c>
      <c r="D353" s="2" t="s">
        <v>18</v>
      </c>
      <c r="E353" s="2" t="s">
        <v>15</v>
      </c>
      <c r="F353" s="2">
        <v>701</v>
      </c>
      <c r="G353" s="2">
        <v>1117.44</v>
      </c>
      <c r="H353" s="2">
        <v>783327</v>
      </c>
      <c r="I353" s="2">
        <v>595</v>
      </c>
    </row>
    <row r="354" spans="1:9" ht="15.75" customHeight="1">
      <c r="A354" s="2">
        <v>8</v>
      </c>
      <c r="B354" s="2" t="s">
        <v>36</v>
      </c>
      <c r="C354" s="2" t="s">
        <v>30</v>
      </c>
      <c r="D354" s="2" t="s">
        <v>19</v>
      </c>
      <c r="E354" s="2" t="s">
        <v>12</v>
      </c>
      <c r="F354" s="2">
        <v>661</v>
      </c>
      <c r="G354" s="2">
        <v>5075.46</v>
      </c>
      <c r="H354" s="2">
        <v>3354876</v>
      </c>
      <c r="I354" s="2">
        <v>626</v>
      </c>
    </row>
    <row r="355" spans="1:9" ht="15.75" customHeight="1">
      <c r="A355" s="2">
        <v>8</v>
      </c>
      <c r="B355" s="2" t="s">
        <v>36</v>
      </c>
      <c r="C355" s="2" t="s">
        <v>30</v>
      </c>
      <c r="D355" s="2" t="s">
        <v>19</v>
      </c>
      <c r="E355" s="2" t="s">
        <v>13</v>
      </c>
      <c r="F355" s="2">
        <v>158</v>
      </c>
      <c r="G355" s="2">
        <v>21805.93</v>
      </c>
      <c r="H355" s="2">
        <v>3445337</v>
      </c>
      <c r="I355" s="2">
        <v>126</v>
      </c>
    </row>
    <row r="356" spans="1:9" ht="15.75" customHeight="1">
      <c r="A356" s="2">
        <v>8</v>
      </c>
      <c r="B356" s="2" t="s">
        <v>36</v>
      </c>
      <c r="C356" s="2" t="s">
        <v>30</v>
      </c>
      <c r="D356" s="2" t="s">
        <v>19</v>
      </c>
      <c r="E356" s="2" t="s">
        <v>14</v>
      </c>
      <c r="F356" s="2">
        <v>262</v>
      </c>
      <c r="G356" s="2">
        <v>6885.44</v>
      </c>
      <c r="H356" s="2">
        <v>1803986</v>
      </c>
      <c r="I356" s="2">
        <v>191</v>
      </c>
    </row>
    <row r="357" spans="1:9" ht="15.75" customHeight="1">
      <c r="A357" s="2">
        <v>8</v>
      </c>
      <c r="B357" s="2" t="s">
        <v>36</v>
      </c>
      <c r="C357" s="2" t="s">
        <v>30</v>
      </c>
      <c r="D357" s="2" t="s">
        <v>19</v>
      </c>
      <c r="E357" s="2" t="s">
        <v>15</v>
      </c>
      <c r="F357" s="2">
        <v>506</v>
      </c>
      <c r="G357" s="2">
        <v>1149.6300000000001</v>
      </c>
      <c r="H357" s="2">
        <v>581713</v>
      </c>
      <c r="I357" s="2">
        <v>376</v>
      </c>
    </row>
    <row r="358" spans="1:9" ht="15.75" customHeight="1">
      <c r="A358" s="2">
        <v>8</v>
      </c>
      <c r="B358" s="2" t="s">
        <v>36</v>
      </c>
      <c r="C358" s="2" t="s">
        <v>30</v>
      </c>
      <c r="D358" s="2" t="s">
        <v>20</v>
      </c>
      <c r="E358" s="2" t="s">
        <v>12</v>
      </c>
      <c r="F358" s="2">
        <v>817</v>
      </c>
      <c r="G358" s="2">
        <v>5393.71</v>
      </c>
      <c r="H358" s="2">
        <v>4406663</v>
      </c>
      <c r="I358" s="2">
        <v>700</v>
      </c>
    </row>
    <row r="359" spans="1:9" ht="15.75" customHeight="1">
      <c r="A359" s="2">
        <v>8</v>
      </c>
      <c r="B359" s="2" t="s">
        <v>36</v>
      </c>
      <c r="C359" s="2" t="s">
        <v>30</v>
      </c>
      <c r="D359" s="2" t="s">
        <v>20</v>
      </c>
      <c r="E359" s="2" t="s">
        <v>13</v>
      </c>
      <c r="F359" s="2">
        <v>108</v>
      </c>
      <c r="G359" s="2">
        <v>21906.55</v>
      </c>
      <c r="H359" s="2">
        <v>2365908</v>
      </c>
      <c r="I359" s="2">
        <v>100</v>
      </c>
    </row>
    <row r="360" spans="1:9" ht="15.75" customHeight="1">
      <c r="A360" s="2">
        <v>8</v>
      </c>
      <c r="B360" s="2" t="s">
        <v>36</v>
      </c>
      <c r="C360" s="2" t="s">
        <v>30</v>
      </c>
      <c r="D360" s="2" t="s">
        <v>20</v>
      </c>
      <c r="E360" s="2" t="s">
        <v>14</v>
      </c>
      <c r="F360" s="2">
        <v>440</v>
      </c>
      <c r="G360" s="2">
        <v>6587.98</v>
      </c>
      <c r="H360" s="2">
        <v>2898711</v>
      </c>
      <c r="I360" s="2">
        <v>391</v>
      </c>
    </row>
    <row r="361" spans="1:9" ht="15.75" customHeight="1">
      <c r="A361" s="2">
        <v>8</v>
      </c>
      <c r="B361" s="2" t="s">
        <v>36</v>
      </c>
      <c r="C361" s="2" t="s">
        <v>30</v>
      </c>
      <c r="D361" s="2" t="s">
        <v>20</v>
      </c>
      <c r="E361" s="2" t="s">
        <v>15</v>
      </c>
      <c r="F361" s="2">
        <v>461</v>
      </c>
      <c r="G361" s="2">
        <v>1082.6400000000001</v>
      </c>
      <c r="H361" s="2">
        <v>499098</v>
      </c>
      <c r="I361" s="2">
        <v>437</v>
      </c>
    </row>
    <row r="362" spans="1:9" ht="15.75" customHeight="1">
      <c r="A362" s="2">
        <v>8</v>
      </c>
      <c r="B362" s="2" t="s">
        <v>36</v>
      </c>
      <c r="C362" s="2" t="s">
        <v>30</v>
      </c>
      <c r="D362" s="2" t="s">
        <v>21</v>
      </c>
      <c r="E362" s="2" t="s">
        <v>12</v>
      </c>
      <c r="F362" s="2">
        <v>602</v>
      </c>
      <c r="G362" s="2">
        <v>5189.5600000000004</v>
      </c>
      <c r="H362" s="2">
        <v>3124112</v>
      </c>
      <c r="I362" s="2">
        <v>455</v>
      </c>
    </row>
    <row r="363" spans="1:9" ht="15.75" customHeight="1">
      <c r="A363" s="2">
        <v>8</v>
      </c>
      <c r="B363" s="2" t="s">
        <v>36</v>
      </c>
      <c r="C363" s="2" t="s">
        <v>30</v>
      </c>
      <c r="D363" s="2" t="s">
        <v>21</v>
      </c>
      <c r="E363" s="2" t="s">
        <v>13</v>
      </c>
      <c r="F363" s="2">
        <v>188</v>
      </c>
      <c r="G363" s="2">
        <v>22006.35</v>
      </c>
      <c r="H363" s="2">
        <v>4137193</v>
      </c>
      <c r="I363" s="2">
        <v>159</v>
      </c>
    </row>
    <row r="364" spans="1:9" ht="15.75" customHeight="1">
      <c r="A364" s="2">
        <v>8</v>
      </c>
      <c r="B364" s="2" t="s">
        <v>36</v>
      </c>
      <c r="C364" s="2" t="s">
        <v>30</v>
      </c>
      <c r="D364" s="2" t="s">
        <v>21</v>
      </c>
      <c r="E364" s="2" t="s">
        <v>14</v>
      </c>
      <c r="F364" s="2">
        <v>297</v>
      </c>
      <c r="G364" s="2">
        <v>6026.3</v>
      </c>
      <c r="H364" s="2">
        <v>1789811</v>
      </c>
      <c r="I364" s="2">
        <v>228</v>
      </c>
    </row>
    <row r="365" spans="1:9" ht="15.75" customHeight="1">
      <c r="A365" s="2">
        <v>8</v>
      </c>
      <c r="B365" s="2" t="s">
        <v>36</v>
      </c>
      <c r="C365" s="2" t="s">
        <v>30</v>
      </c>
      <c r="D365" s="2" t="s">
        <v>21</v>
      </c>
      <c r="E365" s="2" t="s">
        <v>15</v>
      </c>
      <c r="F365" s="2">
        <v>940</v>
      </c>
      <c r="G365" s="2">
        <v>1112.1600000000001</v>
      </c>
      <c r="H365" s="2">
        <v>1045433</v>
      </c>
      <c r="I365" s="2">
        <v>866</v>
      </c>
    </row>
    <row r="366" spans="1:9" ht="15.75" customHeight="1">
      <c r="A366" s="2">
        <v>8</v>
      </c>
      <c r="B366" s="2" t="s">
        <v>36</v>
      </c>
      <c r="C366" s="2" t="s">
        <v>30</v>
      </c>
      <c r="D366" s="2" t="s">
        <v>22</v>
      </c>
      <c r="E366" s="2" t="s">
        <v>12</v>
      </c>
      <c r="F366" s="2">
        <v>931</v>
      </c>
      <c r="G366" s="2">
        <v>5286.2</v>
      </c>
      <c r="H366" s="2">
        <v>4921448</v>
      </c>
      <c r="I366" s="2">
        <v>868</v>
      </c>
    </row>
    <row r="367" spans="1:9" ht="15.75" customHeight="1">
      <c r="A367" s="2">
        <v>8</v>
      </c>
      <c r="B367" s="2" t="s">
        <v>36</v>
      </c>
      <c r="C367" s="2" t="s">
        <v>30</v>
      </c>
      <c r="D367" s="2" t="s">
        <v>22</v>
      </c>
      <c r="E367" s="2" t="s">
        <v>13</v>
      </c>
      <c r="F367" s="2">
        <v>238</v>
      </c>
      <c r="G367" s="2">
        <v>21349.94</v>
      </c>
      <c r="H367" s="2">
        <v>5081285</v>
      </c>
      <c r="I367" s="2">
        <v>171</v>
      </c>
    </row>
    <row r="368" spans="1:9" ht="15.75" customHeight="1">
      <c r="A368" s="2">
        <v>8</v>
      </c>
      <c r="B368" s="2" t="s">
        <v>36</v>
      </c>
      <c r="C368" s="2" t="s">
        <v>30</v>
      </c>
      <c r="D368" s="2" t="s">
        <v>22</v>
      </c>
      <c r="E368" s="2" t="s">
        <v>14</v>
      </c>
      <c r="F368" s="2">
        <v>323</v>
      </c>
      <c r="G368" s="2">
        <v>6286.2</v>
      </c>
      <c r="H368" s="2">
        <v>2030444</v>
      </c>
      <c r="I368" s="2">
        <v>284</v>
      </c>
    </row>
    <row r="369" spans="1:9" ht="15.75" customHeight="1">
      <c r="A369" s="2">
        <v>8</v>
      </c>
      <c r="B369" s="2" t="s">
        <v>36</v>
      </c>
      <c r="C369" s="2" t="s">
        <v>30</v>
      </c>
      <c r="D369" s="2" t="s">
        <v>22</v>
      </c>
      <c r="E369" s="2" t="s">
        <v>15</v>
      </c>
      <c r="F369" s="2">
        <v>1001</v>
      </c>
      <c r="G369" s="2">
        <v>1126.9100000000001</v>
      </c>
      <c r="H369" s="2">
        <v>1128034</v>
      </c>
      <c r="I369" s="2">
        <v>833</v>
      </c>
    </row>
    <row r="370" spans="1:9" ht="15.75" customHeight="1">
      <c r="A370" s="2">
        <v>8</v>
      </c>
      <c r="B370" s="2" t="s">
        <v>36</v>
      </c>
      <c r="C370" s="2" t="s">
        <v>30</v>
      </c>
      <c r="D370" s="2" t="s">
        <v>23</v>
      </c>
      <c r="E370" s="2" t="s">
        <v>12</v>
      </c>
      <c r="F370" s="2">
        <v>636</v>
      </c>
      <c r="G370" s="2">
        <v>5438.95</v>
      </c>
      <c r="H370" s="2">
        <v>3459174</v>
      </c>
      <c r="I370" s="2">
        <v>457</v>
      </c>
    </row>
    <row r="371" spans="1:9" ht="15.75" customHeight="1">
      <c r="A371" s="2">
        <v>8</v>
      </c>
      <c r="B371" s="2" t="s">
        <v>36</v>
      </c>
      <c r="C371" s="2" t="s">
        <v>30</v>
      </c>
      <c r="D371" s="2" t="s">
        <v>23</v>
      </c>
      <c r="E371" s="2" t="s">
        <v>13</v>
      </c>
      <c r="F371" s="2">
        <v>180</v>
      </c>
      <c r="G371" s="2">
        <v>20651.34</v>
      </c>
      <c r="H371" s="2">
        <v>3717241</v>
      </c>
      <c r="I371" s="2">
        <v>128</v>
      </c>
    </row>
    <row r="372" spans="1:9" ht="15.75" customHeight="1">
      <c r="A372" s="2">
        <v>8</v>
      </c>
      <c r="B372" s="2" t="s">
        <v>36</v>
      </c>
      <c r="C372" s="2" t="s">
        <v>30</v>
      </c>
      <c r="D372" s="2" t="s">
        <v>23</v>
      </c>
      <c r="E372" s="2" t="s">
        <v>14</v>
      </c>
      <c r="F372" s="2">
        <v>423</v>
      </c>
      <c r="G372" s="2">
        <v>6972.25</v>
      </c>
      <c r="H372" s="2">
        <v>2949261</v>
      </c>
      <c r="I372" s="2">
        <v>356</v>
      </c>
    </row>
    <row r="373" spans="1:9" ht="15.75" customHeight="1">
      <c r="A373" s="2">
        <v>8</v>
      </c>
      <c r="B373" s="2" t="s">
        <v>36</v>
      </c>
      <c r="C373" s="2" t="s">
        <v>30</v>
      </c>
      <c r="D373" s="2" t="s">
        <v>23</v>
      </c>
      <c r="E373" s="2" t="s">
        <v>15</v>
      </c>
      <c r="F373" s="2">
        <v>439</v>
      </c>
      <c r="G373" s="2">
        <v>1203.5899999999999</v>
      </c>
      <c r="H373" s="2">
        <v>528376</v>
      </c>
      <c r="I373" s="2">
        <v>381</v>
      </c>
    </row>
    <row r="374" spans="1:9" ht="15.75" customHeight="1">
      <c r="A374" s="2">
        <v>8</v>
      </c>
      <c r="B374" s="2" t="s">
        <v>36</v>
      </c>
      <c r="C374" s="2" t="s">
        <v>30</v>
      </c>
      <c r="D374" s="2" t="s">
        <v>24</v>
      </c>
      <c r="E374" s="2" t="s">
        <v>12</v>
      </c>
      <c r="F374" s="2">
        <v>888</v>
      </c>
      <c r="G374" s="2">
        <v>5348</v>
      </c>
      <c r="H374" s="2">
        <v>4749028</v>
      </c>
      <c r="I374" s="2">
        <v>767</v>
      </c>
    </row>
    <row r="375" spans="1:9" ht="15.75" customHeight="1">
      <c r="A375" s="2">
        <v>8</v>
      </c>
      <c r="B375" s="2" t="s">
        <v>36</v>
      </c>
      <c r="C375" s="2" t="s">
        <v>30</v>
      </c>
      <c r="D375" s="2" t="s">
        <v>24</v>
      </c>
      <c r="E375" s="2" t="s">
        <v>13</v>
      </c>
      <c r="F375" s="2">
        <v>196</v>
      </c>
      <c r="G375" s="2">
        <v>21744.44</v>
      </c>
      <c r="H375" s="2">
        <v>4261911</v>
      </c>
      <c r="I375" s="2">
        <v>144</v>
      </c>
    </row>
    <row r="376" spans="1:9" ht="15.75" customHeight="1">
      <c r="A376" s="2">
        <v>8</v>
      </c>
      <c r="B376" s="2" t="s">
        <v>36</v>
      </c>
      <c r="C376" s="2" t="s">
        <v>30</v>
      </c>
      <c r="D376" s="2" t="s">
        <v>24</v>
      </c>
      <c r="E376" s="2" t="s">
        <v>14</v>
      </c>
      <c r="F376" s="2">
        <v>368</v>
      </c>
      <c r="G376" s="2">
        <v>6349.33</v>
      </c>
      <c r="H376" s="2">
        <v>2336554</v>
      </c>
      <c r="I376" s="2">
        <v>343</v>
      </c>
    </row>
    <row r="377" spans="1:9" ht="15.75" customHeight="1">
      <c r="A377" s="2">
        <v>8</v>
      </c>
      <c r="B377" s="2" t="s">
        <v>36</v>
      </c>
      <c r="C377" s="2" t="s">
        <v>30</v>
      </c>
      <c r="D377" s="2" t="s">
        <v>24</v>
      </c>
      <c r="E377" s="2" t="s">
        <v>15</v>
      </c>
      <c r="F377" s="2">
        <v>755</v>
      </c>
      <c r="G377" s="2">
        <v>1125.75</v>
      </c>
      <c r="H377" s="2">
        <v>849940</v>
      </c>
      <c r="I377" s="2">
        <v>645</v>
      </c>
    </row>
    <row r="378" spans="1:9" ht="15.75" customHeight="1">
      <c r="A378" s="2">
        <v>8</v>
      </c>
      <c r="B378" s="2" t="s">
        <v>36</v>
      </c>
      <c r="C378" s="2" t="s">
        <v>30</v>
      </c>
      <c r="D378" s="2" t="s">
        <v>25</v>
      </c>
      <c r="E378" s="2" t="s">
        <v>12</v>
      </c>
      <c r="F378" s="2">
        <v>1021</v>
      </c>
      <c r="G378" s="2">
        <v>5338.97</v>
      </c>
      <c r="H378" s="2">
        <v>5451089</v>
      </c>
      <c r="I378" s="2">
        <v>960</v>
      </c>
    </row>
    <row r="379" spans="1:9" ht="15.75" customHeight="1">
      <c r="A379" s="2">
        <v>8</v>
      </c>
      <c r="B379" s="2" t="s">
        <v>36</v>
      </c>
      <c r="C379" s="2" t="s">
        <v>30</v>
      </c>
      <c r="D379" s="2" t="s">
        <v>25</v>
      </c>
      <c r="E379" s="2" t="s">
        <v>13</v>
      </c>
      <c r="F379" s="2">
        <v>130</v>
      </c>
      <c r="G379" s="2">
        <v>21373.06</v>
      </c>
      <c r="H379" s="2">
        <v>2778498</v>
      </c>
      <c r="I379" s="2">
        <v>117</v>
      </c>
    </row>
    <row r="380" spans="1:9" ht="15.75" customHeight="1">
      <c r="A380" s="2">
        <v>8</v>
      </c>
      <c r="B380" s="2" t="s">
        <v>36</v>
      </c>
      <c r="C380" s="2" t="s">
        <v>30</v>
      </c>
      <c r="D380" s="2" t="s">
        <v>25</v>
      </c>
      <c r="E380" s="2" t="s">
        <v>14</v>
      </c>
      <c r="F380" s="2">
        <v>359</v>
      </c>
      <c r="G380" s="2">
        <v>7061.95</v>
      </c>
      <c r="H380" s="2">
        <v>2535241</v>
      </c>
      <c r="I380" s="2">
        <v>265</v>
      </c>
    </row>
    <row r="381" spans="1:9" ht="15.75" customHeight="1">
      <c r="A381" s="2">
        <v>8</v>
      </c>
      <c r="B381" s="2" t="s">
        <v>36</v>
      </c>
      <c r="C381" s="2" t="s">
        <v>30</v>
      </c>
      <c r="D381" s="2" t="s">
        <v>25</v>
      </c>
      <c r="E381" s="2" t="s">
        <v>15</v>
      </c>
      <c r="F381" s="2">
        <v>755</v>
      </c>
      <c r="G381" s="2">
        <v>1118.31</v>
      </c>
      <c r="H381" s="2">
        <v>844321</v>
      </c>
      <c r="I381" s="2">
        <v>633</v>
      </c>
    </row>
    <row r="382" spans="1:9" ht="15.75" customHeight="1">
      <c r="A382" s="2">
        <v>8</v>
      </c>
      <c r="B382" s="2" t="s">
        <v>36</v>
      </c>
      <c r="C382" s="2" t="s">
        <v>30</v>
      </c>
      <c r="D382" s="2" t="s">
        <v>26</v>
      </c>
      <c r="E382" s="2" t="s">
        <v>12</v>
      </c>
      <c r="F382" s="2">
        <v>1188</v>
      </c>
      <c r="G382" s="2">
        <v>5254.86</v>
      </c>
      <c r="H382" s="2">
        <v>6242770</v>
      </c>
      <c r="I382" s="2">
        <v>916</v>
      </c>
    </row>
    <row r="383" spans="1:9" ht="15.75" customHeight="1">
      <c r="A383" s="2">
        <v>8</v>
      </c>
      <c r="B383" s="2" t="s">
        <v>36</v>
      </c>
      <c r="C383" s="2" t="s">
        <v>30</v>
      </c>
      <c r="D383" s="2" t="s">
        <v>26</v>
      </c>
      <c r="E383" s="2" t="s">
        <v>13</v>
      </c>
      <c r="F383" s="2">
        <v>145</v>
      </c>
      <c r="G383" s="2">
        <v>21502.73</v>
      </c>
      <c r="H383" s="2">
        <v>3117896</v>
      </c>
      <c r="I383" s="2">
        <v>113</v>
      </c>
    </row>
    <row r="384" spans="1:9" ht="15.75" customHeight="1">
      <c r="A384" s="2">
        <v>8</v>
      </c>
      <c r="B384" s="2" t="s">
        <v>36</v>
      </c>
      <c r="C384" s="2" t="s">
        <v>30</v>
      </c>
      <c r="D384" s="2" t="s">
        <v>26</v>
      </c>
      <c r="E384" s="2" t="s">
        <v>14</v>
      </c>
      <c r="F384" s="2">
        <v>432</v>
      </c>
      <c r="G384" s="2">
        <v>6292.04</v>
      </c>
      <c r="H384" s="2">
        <v>2718163</v>
      </c>
      <c r="I384" s="2">
        <v>370</v>
      </c>
    </row>
    <row r="385" spans="1:9" ht="15.75" customHeight="1">
      <c r="A385" s="2">
        <v>8</v>
      </c>
      <c r="B385" s="2" t="s">
        <v>36</v>
      </c>
      <c r="C385" s="2" t="s">
        <v>30</v>
      </c>
      <c r="D385" s="2" t="s">
        <v>26</v>
      </c>
      <c r="E385" s="2" t="s">
        <v>15</v>
      </c>
      <c r="F385" s="2">
        <v>764</v>
      </c>
      <c r="G385" s="2">
        <v>1274.6300000000001</v>
      </c>
      <c r="H385" s="2">
        <v>973814</v>
      </c>
      <c r="I385" s="2">
        <v>683</v>
      </c>
    </row>
    <row r="386" spans="1:9" ht="15.75" customHeight="1">
      <c r="A386" s="2">
        <v>9</v>
      </c>
      <c r="B386" s="2" t="s">
        <v>37</v>
      </c>
      <c r="C386" s="2" t="s">
        <v>30</v>
      </c>
      <c r="D386" s="2" t="s">
        <v>11</v>
      </c>
      <c r="E386" s="2" t="s">
        <v>12</v>
      </c>
      <c r="F386" s="2">
        <v>925</v>
      </c>
      <c r="G386" s="2">
        <v>5537.28</v>
      </c>
      <c r="H386" s="2">
        <v>5121982</v>
      </c>
      <c r="I386" s="2">
        <v>738</v>
      </c>
    </row>
    <row r="387" spans="1:9" ht="15.75" customHeight="1">
      <c r="A387" s="2">
        <v>9</v>
      </c>
      <c r="B387" s="2" t="s">
        <v>37</v>
      </c>
      <c r="C387" s="2" t="s">
        <v>30</v>
      </c>
      <c r="D387" s="2" t="s">
        <v>11</v>
      </c>
      <c r="E387" s="2" t="s">
        <v>13</v>
      </c>
      <c r="F387" s="2">
        <v>178</v>
      </c>
      <c r="G387" s="2">
        <v>21310.92</v>
      </c>
      <c r="H387" s="2">
        <v>3793343</v>
      </c>
      <c r="I387" s="2">
        <v>166</v>
      </c>
    </row>
    <row r="388" spans="1:9" ht="15.75" customHeight="1">
      <c r="A388" s="2">
        <v>9</v>
      </c>
      <c r="B388" s="2" t="s">
        <v>37</v>
      </c>
      <c r="C388" s="2" t="s">
        <v>30</v>
      </c>
      <c r="D388" s="2" t="s">
        <v>11</v>
      </c>
      <c r="E388" s="2" t="s">
        <v>14</v>
      </c>
      <c r="F388" s="2">
        <v>477</v>
      </c>
      <c r="G388" s="2">
        <v>6752.66</v>
      </c>
      <c r="H388" s="2">
        <v>3221021</v>
      </c>
      <c r="I388" s="2">
        <v>341</v>
      </c>
    </row>
    <row r="389" spans="1:9" ht="15.75" customHeight="1">
      <c r="A389" s="2">
        <v>9</v>
      </c>
      <c r="B389" s="2" t="s">
        <v>37</v>
      </c>
      <c r="C389" s="2" t="s">
        <v>30</v>
      </c>
      <c r="D389" s="2" t="s">
        <v>11</v>
      </c>
      <c r="E389" s="2" t="s">
        <v>15</v>
      </c>
      <c r="F389" s="2">
        <v>1130</v>
      </c>
      <c r="G389" s="2">
        <v>1240.8499999999999</v>
      </c>
      <c r="H389" s="2">
        <v>1402162</v>
      </c>
      <c r="I389" s="2">
        <v>838</v>
      </c>
    </row>
    <row r="390" spans="1:9" ht="15.75" customHeight="1">
      <c r="A390" s="2">
        <v>9</v>
      </c>
      <c r="B390" s="2" t="s">
        <v>37</v>
      </c>
      <c r="C390" s="2" t="s">
        <v>30</v>
      </c>
      <c r="D390" s="2" t="s">
        <v>16</v>
      </c>
      <c r="E390" s="2" t="s">
        <v>12</v>
      </c>
      <c r="F390" s="2">
        <v>1123</v>
      </c>
      <c r="G390" s="2">
        <v>5326.59</v>
      </c>
      <c r="H390" s="2">
        <v>5981765</v>
      </c>
      <c r="I390" s="2">
        <v>883</v>
      </c>
    </row>
    <row r="391" spans="1:9" ht="15.75" customHeight="1">
      <c r="A391" s="2">
        <v>9</v>
      </c>
      <c r="B391" s="2" t="s">
        <v>37</v>
      </c>
      <c r="C391" s="2" t="s">
        <v>30</v>
      </c>
      <c r="D391" s="2" t="s">
        <v>16</v>
      </c>
      <c r="E391" s="2" t="s">
        <v>13</v>
      </c>
      <c r="F391" s="2">
        <v>219</v>
      </c>
      <c r="G391" s="2">
        <v>20939.900000000001</v>
      </c>
      <c r="H391" s="2">
        <v>4585839</v>
      </c>
      <c r="I391" s="2">
        <v>155</v>
      </c>
    </row>
    <row r="392" spans="1:9" ht="15.75" customHeight="1">
      <c r="A392" s="2">
        <v>9</v>
      </c>
      <c r="B392" s="2" t="s">
        <v>37</v>
      </c>
      <c r="C392" s="2" t="s">
        <v>30</v>
      </c>
      <c r="D392" s="2" t="s">
        <v>16</v>
      </c>
      <c r="E392" s="2" t="s">
        <v>14</v>
      </c>
      <c r="F392" s="2">
        <v>469</v>
      </c>
      <c r="G392" s="2">
        <v>6532.32</v>
      </c>
      <c r="H392" s="2">
        <v>3063660</v>
      </c>
      <c r="I392" s="2">
        <v>417</v>
      </c>
    </row>
    <row r="393" spans="1:9" ht="15.75" customHeight="1">
      <c r="A393" s="2">
        <v>9</v>
      </c>
      <c r="B393" s="2" t="s">
        <v>37</v>
      </c>
      <c r="C393" s="2" t="s">
        <v>30</v>
      </c>
      <c r="D393" s="2" t="s">
        <v>16</v>
      </c>
      <c r="E393" s="2" t="s">
        <v>15</v>
      </c>
      <c r="F393" s="2">
        <v>406</v>
      </c>
      <c r="G393" s="2">
        <v>1237.72</v>
      </c>
      <c r="H393" s="2">
        <v>502515</v>
      </c>
      <c r="I393" s="2">
        <v>290</v>
      </c>
    </row>
    <row r="394" spans="1:9" ht="15.75" customHeight="1">
      <c r="A394" s="2">
        <v>9</v>
      </c>
      <c r="B394" s="2" t="s">
        <v>37</v>
      </c>
      <c r="C394" s="2" t="s">
        <v>30</v>
      </c>
      <c r="D394" s="2" t="s">
        <v>17</v>
      </c>
      <c r="E394" s="2" t="s">
        <v>12</v>
      </c>
      <c r="F394" s="2">
        <v>632</v>
      </c>
      <c r="G394" s="2">
        <v>5273.79</v>
      </c>
      <c r="H394" s="2">
        <v>3333037</v>
      </c>
      <c r="I394" s="2">
        <v>564</v>
      </c>
    </row>
    <row r="395" spans="1:9" ht="15.75" customHeight="1">
      <c r="A395" s="2">
        <v>9</v>
      </c>
      <c r="B395" s="2" t="s">
        <v>37</v>
      </c>
      <c r="C395" s="2" t="s">
        <v>30</v>
      </c>
      <c r="D395" s="2" t="s">
        <v>17</v>
      </c>
      <c r="E395" s="2" t="s">
        <v>13</v>
      </c>
      <c r="F395" s="2">
        <v>157</v>
      </c>
      <c r="G395" s="2">
        <v>19871.810000000001</v>
      </c>
      <c r="H395" s="2">
        <v>3119874</v>
      </c>
      <c r="I395" s="2">
        <v>109</v>
      </c>
    </row>
    <row r="396" spans="1:9" ht="15.75" customHeight="1">
      <c r="A396" s="2">
        <v>9</v>
      </c>
      <c r="B396" s="2" t="s">
        <v>37</v>
      </c>
      <c r="C396" s="2" t="s">
        <v>30</v>
      </c>
      <c r="D396" s="2" t="s">
        <v>17</v>
      </c>
      <c r="E396" s="2" t="s">
        <v>14</v>
      </c>
      <c r="F396" s="2">
        <v>425</v>
      </c>
      <c r="G396" s="2">
        <v>6331.04</v>
      </c>
      <c r="H396" s="2">
        <v>2690692</v>
      </c>
      <c r="I396" s="2">
        <v>381</v>
      </c>
    </row>
    <row r="397" spans="1:9" ht="15.75" customHeight="1">
      <c r="A397" s="2">
        <v>9</v>
      </c>
      <c r="B397" s="2" t="s">
        <v>37</v>
      </c>
      <c r="C397" s="2" t="s">
        <v>30</v>
      </c>
      <c r="D397" s="2" t="s">
        <v>17</v>
      </c>
      <c r="E397" s="2" t="s">
        <v>15</v>
      </c>
      <c r="F397" s="2">
        <v>556</v>
      </c>
      <c r="G397" s="2">
        <v>1182.23</v>
      </c>
      <c r="H397" s="2">
        <v>657318</v>
      </c>
      <c r="I397" s="2">
        <v>430</v>
      </c>
    </row>
    <row r="398" spans="1:9" ht="15.75" customHeight="1">
      <c r="A398" s="2">
        <v>9</v>
      </c>
      <c r="B398" s="2" t="s">
        <v>37</v>
      </c>
      <c r="C398" s="2" t="s">
        <v>30</v>
      </c>
      <c r="D398" s="2" t="s">
        <v>18</v>
      </c>
      <c r="E398" s="2" t="s">
        <v>12</v>
      </c>
      <c r="F398" s="2">
        <v>729</v>
      </c>
      <c r="G398" s="2">
        <v>5155.3100000000004</v>
      </c>
      <c r="H398" s="2">
        <v>3758223</v>
      </c>
      <c r="I398" s="2">
        <v>534</v>
      </c>
    </row>
    <row r="399" spans="1:9" ht="15.75" customHeight="1">
      <c r="A399" s="2">
        <v>9</v>
      </c>
      <c r="B399" s="2" t="s">
        <v>37</v>
      </c>
      <c r="C399" s="2" t="s">
        <v>30</v>
      </c>
      <c r="D399" s="2" t="s">
        <v>18</v>
      </c>
      <c r="E399" s="2" t="s">
        <v>13</v>
      </c>
      <c r="F399" s="2">
        <v>180</v>
      </c>
      <c r="G399" s="2">
        <v>22084.92</v>
      </c>
      <c r="H399" s="2">
        <v>3975285</v>
      </c>
      <c r="I399" s="2">
        <v>169</v>
      </c>
    </row>
    <row r="400" spans="1:9" ht="15.75" customHeight="1">
      <c r="A400" s="2">
        <v>9</v>
      </c>
      <c r="B400" s="2" t="s">
        <v>37</v>
      </c>
      <c r="C400" s="2" t="s">
        <v>30</v>
      </c>
      <c r="D400" s="2" t="s">
        <v>18</v>
      </c>
      <c r="E400" s="2" t="s">
        <v>14</v>
      </c>
      <c r="F400" s="2">
        <v>291</v>
      </c>
      <c r="G400" s="2">
        <v>6829.25</v>
      </c>
      <c r="H400" s="2">
        <v>1987312</v>
      </c>
      <c r="I400" s="2">
        <v>266</v>
      </c>
    </row>
    <row r="401" spans="1:9" ht="15.75" customHeight="1">
      <c r="A401" s="2">
        <v>9</v>
      </c>
      <c r="B401" s="2" t="s">
        <v>37</v>
      </c>
      <c r="C401" s="2" t="s">
        <v>30</v>
      </c>
      <c r="D401" s="2" t="s">
        <v>18</v>
      </c>
      <c r="E401" s="2" t="s">
        <v>15</v>
      </c>
      <c r="F401" s="2">
        <v>483</v>
      </c>
      <c r="G401" s="2">
        <v>1224.33</v>
      </c>
      <c r="H401" s="2">
        <v>591352</v>
      </c>
      <c r="I401" s="2">
        <v>386</v>
      </c>
    </row>
    <row r="402" spans="1:9" ht="15.75" customHeight="1">
      <c r="A402" s="2">
        <v>9</v>
      </c>
      <c r="B402" s="2" t="s">
        <v>37</v>
      </c>
      <c r="C402" s="2" t="s">
        <v>30</v>
      </c>
      <c r="D402" s="2" t="s">
        <v>19</v>
      </c>
      <c r="E402" s="2" t="s">
        <v>12</v>
      </c>
      <c r="F402" s="2">
        <v>1052</v>
      </c>
      <c r="G402" s="2">
        <v>5290.88</v>
      </c>
      <c r="H402" s="2">
        <v>5566009</v>
      </c>
      <c r="I402" s="2">
        <v>971</v>
      </c>
    </row>
    <row r="403" spans="1:9" ht="15.75" customHeight="1">
      <c r="A403" s="2">
        <v>9</v>
      </c>
      <c r="B403" s="2" t="s">
        <v>37</v>
      </c>
      <c r="C403" s="2" t="s">
        <v>30</v>
      </c>
      <c r="D403" s="2" t="s">
        <v>19</v>
      </c>
      <c r="E403" s="2" t="s">
        <v>13</v>
      </c>
      <c r="F403" s="2">
        <v>114</v>
      </c>
      <c r="G403" s="2">
        <v>21694.67</v>
      </c>
      <c r="H403" s="2">
        <v>2473193</v>
      </c>
      <c r="I403" s="2">
        <v>101</v>
      </c>
    </row>
    <row r="404" spans="1:9" ht="15.75" customHeight="1">
      <c r="A404" s="2">
        <v>9</v>
      </c>
      <c r="B404" s="2" t="s">
        <v>37</v>
      </c>
      <c r="C404" s="2" t="s">
        <v>30</v>
      </c>
      <c r="D404" s="2" t="s">
        <v>19</v>
      </c>
      <c r="E404" s="2" t="s">
        <v>14</v>
      </c>
      <c r="F404" s="2">
        <v>362</v>
      </c>
      <c r="G404" s="2">
        <v>6722.26</v>
      </c>
      <c r="H404" s="2">
        <v>2433459</v>
      </c>
      <c r="I404" s="2">
        <v>286</v>
      </c>
    </row>
    <row r="405" spans="1:9" ht="15.75" customHeight="1">
      <c r="A405" s="2">
        <v>9</v>
      </c>
      <c r="B405" s="2" t="s">
        <v>37</v>
      </c>
      <c r="C405" s="2" t="s">
        <v>30</v>
      </c>
      <c r="D405" s="2" t="s">
        <v>19</v>
      </c>
      <c r="E405" s="2" t="s">
        <v>15</v>
      </c>
      <c r="F405" s="2">
        <v>670</v>
      </c>
      <c r="G405" s="2">
        <v>1177.06</v>
      </c>
      <c r="H405" s="2">
        <v>788630</v>
      </c>
      <c r="I405" s="2">
        <v>547</v>
      </c>
    </row>
    <row r="406" spans="1:9" ht="15.75" customHeight="1">
      <c r="A406" s="2">
        <v>9</v>
      </c>
      <c r="B406" s="2" t="s">
        <v>37</v>
      </c>
      <c r="C406" s="2" t="s">
        <v>30</v>
      </c>
      <c r="D406" s="2" t="s">
        <v>20</v>
      </c>
      <c r="E406" s="2" t="s">
        <v>12</v>
      </c>
      <c r="F406" s="2">
        <v>1138</v>
      </c>
      <c r="G406" s="2">
        <v>5368.55</v>
      </c>
      <c r="H406" s="2">
        <v>6109404</v>
      </c>
      <c r="I406" s="2">
        <v>1015</v>
      </c>
    </row>
    <row r="407" spans="1:9" ht="15.75" customHeight="1">
      <c r="A407" s="2">
        <v>9</v>
      </c>
      <c r="B407" s="2" t="s">
        <v>37</v>
      </c>
      <c r="C407" s="2" t="s">
        <v>30</v>
      </c>
      <c r="D407" s="2" t="s">
        <v>20</v>
      </c>
      <c r="E407" s="2" t="s">
        <v>13</v>
      </c>
      <c r="F407" s="2">
        <v>149</v>
      </c>
      <c r="G407" s="2">
        <v>21865.4</v>
      </c>
      <c r="H407" s="2">
        <v>3257945</v>
      </c>
      <c r="I407" s="2">
        <v>132</v>
      </c>
    </row>
    <row r="408" spans="1:9" ht="15.75" customHeight="1">
      <c r="A408" s="2">
        <v>9</v>
      </c>
      <c r="B408" s="2" t="s">
        <v>37</v>
      </c>
      <c r="C408" s="2" t="s">
        <v>30</v>
      </c>
      <c r="D408" s="2" t="s">
        <v>20</v>
      </c>
      <c r="E408" s="2" t="s">
        <v>14</v>
      </c>
      <c r="F408" s="2">
        <v>380</v>
      </c>
      <c r="G408" s="2">
        <v>6651.51</v>
      </c>
      <c r="H408" s="2">
        <v>2527575</v>
      </c>
      <c r="I408" s="2">
        <v>266</v>
      </c>
    </row>
    <row r="409" spans="1:9" ht="15.75" customHeight="1">
      <c r="A409" s="2">
        <v>9</v>
      </c>
      <c r="B409" s="2" t="s">
        <v>37</v>
      </c>
      <c r="C409" s="2" t="s">
        <v>30</v>
      </c>
      <c r="D409" s="2" t="s">
        <v>20</v>
      </c>
      <c r="E409" s="2" t="s">
        <v>15</v>
      </c>
      <c r="F409" s="2">
        <v>854</v>
      </c>
      <c r="G409" s="2">
        <v>1065.8699999999999</v>
      </c>
      <c r="H409" s="2">
        <v>910255</v>
      </c>
      <c r="I409" s="2">
        <v>624</v>
      </c>
    </row>
    <row r="410" spans="1:9" ht="15.75" customHeight="1">
      <c r="A410" s="2">
        <v>9</v>
      </c>
      <c r="B410" s="2" t="s">
        <v>37</v>
      </c>
      <c r="C410" s="2" t="s">
        <v>30</v>
      </c>
      <c r="D410" s="2" t="s">
        <v>21</v>
      </c>
      <c r="E410" s="2" t="s">
        <v>12</v>
      </c>
      <c r="F410" s="2">
        <v>835</v>
      </c>
      <c r="G410" s="2">
        <v>5373.1</v>
      </c>
      <c r="H410" s="2">
        <v>4486540</v>
      </c>
      <c r="I410" s="2">
        <v>631</v>
      </c>
    </row>
    <row r="411" spans="1:9" ht="15.75" customHeight="1">
      <c r="A411" s="2">
        <v>9</v>
      </c>
      <c r="B411" s="2" t="s">
        <v>37</v>
      </c>
      <c r="C411" s="2" t="s">
        <v>30</v>
      </c>
      <c r="D411" s="2" t="s">
        <v>21</v>
      </c>
      <c r="E411" s="2" t="s">
        <v>13</v>
      </c>
      <c r="F411" s="2">
        <v>162</v>
      </c>
      <c r="G411" s="2">
        <v>20236.22</v>
      </c>
      <c r="H411" s="2">
        <v>3278268</v>
      </c>
      <c r="I411" s="2">
        <v>139</v>
      </c>
    </row>
    <row r="412" spans="1:9" ht="15.75" customHeight="1">
      <c r="A412" s="2">
        <v>9</v>
      </c>
      <c r="B412" s="2" t="s">
        <v>37</v>
      </c>
      <c r="C412" s="2" t="s">
        <v>30</v>
      </c>
      <c r="D412" s="2" t="s">
        <v>21</v>
      </c>
      <c r="E412" s="2" t="s">
        <v>14</v>
      </c>
      <c r="F412" s="2">
        <v>316</v>
      </c>
      <c r="G412" s="2">
        <v>6263.97</v>
      </c>
      <c r="H412" s="2">
        <v>1979415</v>
      </c>
      <c r="I412" s="2">
        <v>298</v>
      </c>
    </row>
    <row r="413" spans="1:9" ht="15.75" customHeight="1">
      <c r="A413" s="2">
        <v>9</v>
      </c>
      <c r="B413" s="2" t="s">
        <v>37</v>
      </c>
      <c r="C413" s="2" t="s">
        <v>30</v>
      </c>
      <c r="D413" s="2" t="s">
        <v>21</v>
      </c>
      <c r="E413" s="2" t="s">
        <v>15</v>
      </c>
      <c r="F413" s="2">
        <v>1120</v>
      </c>
      <c r="G413" s="2">
        <v>1396.53</v>
      </c>
      <c r="H413" s="2">
        <v>1564117</v>
      </c>
      <c r="I413" s="2">
        <v>787</v>
      </c>
    </row>
    <row r="414" spans="1:9" ht="15.75" customHeight="1">
      <c r="A414" s="2">
        <v>9</v>
      </c>
      <c r="B414" s="2" t="s">
        <v>37</v>
      </c>
      <c r="C414" s="2" t="s">
        <v>30</v>
      </c>
      <c r="D414" s="2" t="s">
        <v>22</v>
      </c>
      <c r="E414" s="2" t="s">
        <v>12</v>
      </c>
      <c r="F414" s="2">
        <v>873</v>
      </c>
      <c r="G414" s="2">
        <v>5112.6000000000004</v>
      </c>
      <c r="H414" s="2">
        <v>4463296</v>
      </c>
      <c r="I414" s="2">
        <v>823</v>
      </c>
    </row>
    <row r="415" spans="1:9" ht="15.75" customHeight="1">
      <c r="A415" s="2">
        <v>9</v>
      </c>
      <c r="B415" s="2" t="s">
        <v>37</v>
      </c>
      <c r="C415" s="2" t="s">
        <v>30</v>
      </c>
      <c r="D415" s="2" t="s">
        <v>22</v>
      </c>
      <c r="E415" s="2" t="s">
        <v>13</v>
      </c>
      <c r="F415" s="2">
        <v>131</v>
      </c>
      <c r="G415" s="2">
        <v>22795.040000000001</v>
      </c>
      <c r="H415" s="2">
        <v>2986150</v>
      </c>
      <c r="I415" s="2">
        <v>113</v>
      </c>
    </row>
    <row r="416" spans="1:9" ht="15.75" customHeight="1">
      <c r="A416" s="2">
        <v>9</v>
      </c>
      <c r="B416" s="2" t="s">
        <v>37</v>
      </c>
      <c r="C416" s="2" t="s">
        <v>30</v>
      </c>
      <c r="D416" s="2" t="s">
        <v>22</v>
      </c>
      <c r="E416" s="2" t="s">
        <v>14</v>
      </c>
      <c r="F416" s="2">
        <v>416</v>
      </c>
      <c r="G416" s="2">
        <v>6811.64</v>
      </c>
      <c r="H416" s="2">
        <v>2833642</v>
      </c>
      <c r="I416" s="2">
        <v>295</v>
      </c>
    </row>
    <row r="417" spans="1:9" ht="15.75" customHeight="1">
      <c r="A417" s="2">
        <v>9</v>
      </c>
      <c r="B417" s="2" t="s">
        <v>37</v>
      </c>
      <c r="C417" s="2" t="s">
        <v>30</v>
      </c>
      <c r="D417" s="2" t="s">
        <v>22</v>
      </c>
      <c r="E417" s="2" t="s">
        <v>15</v>
      </c>
      <c r="F417" s="2">
        <v>613</v>
      </c>
      <c r="G417" s="2">
        <v>1247.8900000000001</v>
      </c>
      <c r="H417" s="2">
        <v>764955</v>
      </c>
      <c r="I417" s="2">
        <v>543</v>
      </c>
    </row>
    <row r="418" spans="1:9" ht="15.75" customHeight="1">
      <c r="A418" s="2">
        <v>9</v>
      </c>
      <c r="B418" s="2" t="s">
        <v>37</v>
      </c>
      <c r="C418" s="2" t="s">
        <v>30</v>
      </c>
      <c r="D418" s="2" t="s">
        <v>23</v>
      </c>
      <c r="E418" s="2" t="s">
        <v>12</v>
      </c>
      <c r="F418" s="2">
        <v>1152</v>
      </c>
      <c r="G418" s="2">
        <v>5299.28</v>
      </c>
      <c r="H418" s="2">
        <v>6104770</v>
      </c>
      <c r="I418" s="2">
        <v>984</v>
      </c>
    </row>
    <row r="419" spans="1:9" ht="15.75" customHeight="1">
      <c r="A419" s="2">
        <v>9</v>
      </c>
      <c r="B419" s="2" t="s">
        <v>37</v>
      </c>
      <c r="C419" s="2" t="s">
        <v>30</v>
      </c>
      <c r="D419" s="2" t="s">
        <v>23</v>
      </c>
      <c r="E419" s="2" t="s">
        <v>13</v>
      </c>
      <c r="F419" s="2">
        <v>247</v>
      </c>
      <c r="G419" s="2">
        <v>20573.310000000001</v>
      </c>
      <c r="H419" s="2">
        <v>5081607</v>
      </c>
      <c r="I419" s="2">
        <v>194</v>
      </c>
    </row>
    <row r="420" spans="1:9" ht="15.75" customHeight="1">
      <c r="A420" s="2">
        <v>9</v>
      </c>
      <c r="B420" s="2" t="s">
        <v>37</v>
      </c>
      <c r="C420" s="2" t="s">
        <v>30</v>
      </c>
      <c r="D420" s="2" t="s">
        <v>23</v>
      </c>
      <c r="E420" s="2" t="s">
        <v>14</v>
      </c>
      <c r="F420" s="2">
        <v>441</v>
      </c>
      <c r="G420" s="2">
        <v>6762.51</v>
      </c>
      <c r="H420" s="2">
        <v>2982269</v>
      </c>
      <c r="I420" s="2">
        <v>318</v>
      </c>
    </row>
    <row r="421" spans="1:9" ht="15.75" customHeight="1">
      <c r="A421" s="2">
        <v>9</v>
      </c>
      <c r="B421" s="2" t="s">
        <v>37</v>
      </c>
      <c r="C421" s="2" t="s">
        <v>30</v>
      </c>
      <c r="D421" s="2" t="s">
        <v>23</v>
      </c>
      <c r="E421" s="2" t="s">
        <v>15</v>
      </c>
      <c r="F421" s="2">
        <v>988</v>
      </c>
      <c r="G421" s="2">
        <v>995.83</v>
      </c>
      <c r="H421" s="2">
        <v>983877</v>
      </c>
      <c r="I421" s="2">
        <v>711</v>
      </c>
    </row>
    <row r="422" spans="1:9" ht="15.75" customHeight="1">
      <c r="A422" s="2">
        <v>9</v>
      </c>
      <c r="B422" s="2" t="s">
        <v>37</v>
      </c>
      <c r="C422" s="2" t="s">
        <v>30</v>
      </c>
      <c r="D422" s="2" t="s">
        <v>24</v>
      </c>
      <c r="E422" s="2" t="s">
        <v>12</v>
      </c>
      <c r="F422" s="2">
        <v>702</v>
      </c>
      <c r="G422" s="2">
        <v>5339.08</v>
      </c>
      <c r="H422" s="2">
        <v>3748036</v>
      </c>
      <c r="I422" s="2">
        <v>612</v>
      </c>
    </row>
    <row r="423" spans="1:9" ht="15.75" customHeight="1">
      <c r="A423" s="2">
        <v>9</v>
      </c>
      <c r="B423" s="2" t="s">
        <v>37</v>
      </c>
      <c r="C423" s="2" t="s">
        <v>30</v>
      </c>
      <c r="D423" s="2" t="s">
        <v>24</v>
      </c>
      <c r="E423" s="2" t="s">
        <v>13</v>
      </c>
      <c r="F423" s="2">
        <v>242</v>
      </c>
      <c r="G423" s="2">
        <v>20649.89</v>
      </c>
      <c r="H423" s="2">
        <v>4997274</v>
      </c>
      <c r="I423" s="2">
        <v>181</v>
      </c>
    </row>
    <row r="424" spans="1:9" ht="15.75" customHeight="1">
      <c r="A424" s="2">
        <v>9</v>
      </c>
      <c r="B424" s="2" t="s">
        <v>37</v>
      </c>
      <c r="C424" s="2" t="s">
        <v>30</v>
      </c>
      <c r="D424" s="2" t="s">
        <v>24</v>
      </c>
      <c r="E424" s="2" t="s">
        <v>14</v>
      </c>
      <c r="F424" s="2">
        <v>322</v>
      </c>
      <c r="G424" s="2">
        <v>6717.89</v>
      </c>
      <c r="H424" s="2">
        <v>2163160</v>
      </c>
      <c r="I424" s="2">
        <v>282</v>
      </c>
    </row>
    <row r="425" spans="1:9" ht="15.75" customHeight="1">
      <c r="A425" s="2">
        <v>9</v>
      </c>
      <c r="B425" s="2" t="s">
        <v>37</v>
      </c>
      <c r="C425" s="2" t="s">
        <v>30</v>
      </c>
      <c r="D425" s="2" t="s">
        <v>24</v>
      </c>
      <c r="E425" s="2" t="s">
        <v>15</v>
      </c>
      <c r="F425" s="2">
        <v>663</v>
      </c>
      <c r="G425" s="2">
        <v>1135.31</v>
      </c>
      <c r="H425" s="2">
        <v>752708</v>
      </c>
      <c r="I425" s="2">
        <v>621</v>
      </c>
    </row>
    <row r="426" spans="1:9" ht="15.75" customHeight="1">
      <c r="A426" s="2">
        <v>9</v>
      </c>
      <c r="B426" s="2" t="s">
        <v>37</v>
      </c>
      <c r="C426" s="2" t="s">
        <v>30</v>
      </c>
      <c r="D426" s="2" t="s">
        <v>25</v>
      </c>
      <c r="E426" s="2" t="s">
        <v>12</v>
      </c>
      <c r="F426" s="2">
        <v>917</v>
      </c>
      <c r="G426" s="2">
        <v>5403.61</v>
      </c>
      <c r="H426" s="2">
        <v>4955113</v>
      </c>
      <c r="I426" s="2">
        <v>752</v>
      </c>
    </row>
    <row r="427" spans="1:9" ht="15.75" customHeight="1">
      <c r="A427" s="2">
        <v>9</v>
      </c>
      <c r="B427" s="2" t="s">
        <v>37</v>
      </c>
      <c r="C427" s="2" t="s">
        <v>30</v>
      </c>
      <c r="D427" s="2" t="s">
        <v>25</v>
      </c>
      <c r="E427" s="2" t="s">
        <v>13</v>
      </c>
      <c r="F427" s="2">
        <v>183</v>
      </c>
      <c r="G427" s="2">
        <v>22546.39</v>
      </c>
      <c r="H427" s="2">
        <v>4125989</v>
      </c>
      <c r="I427" s="2">
        <v>153</v>
      </c>
    </row>
    <row r="428" spans="1:9" ht="15.75" customHeight="1">
      <c r="A428" s="2">
        <v>9</v>
      </c>
      <c r="B428" s="2" t="s">
        <v>37</v>
      </c>
      <c r="C428" s="2" t="s">
        <v>30</v>
      </c>
      <c r="D428" s="2" t="s">
        <v>25</v>
      </c>
      <c r="E428" s="2" t="s">
        <v>14</v>
      </c>
      <c r="F428" s="2">
        <v>221</v>
      </c>
      <c r="G428" s="2">
        <v>7322.58</v>
      </c>
      <c r="H428" s="2">
        <v>1618290</v>
      </c>
      <c r="I428" s="2">
        <v>183</v>
      </c>
    </row>
    <row r="429" spans="1:9" ht="15.75" customHeight="1">
      <c r="A429" s="2">
        <v>9</v>
      </c>
      <c r="B429" s="2" t="s">
        <v>37</v>
      </c>
      <c r="C429" s="2" t="s">
        <v>30</v>
      </c>
      <c r="D429" s="2" t="s">
        <v>25</v>
      </c>
      <c r="E429" s="2" t="s">
        <v>15</v>
      </c>
      <c r="F429" s="2">
        <v>413</v>
      </c>
      <c r="G429" s="2">
        <v>1131.08</v>
      </c>
      <c r="H429" s="2">
        <v>467137</v>
      </c>
      <c r="I429" s="2">
        <v>297</v>
      </c>
    </row>
    <row r="430" spans="1:9" ht="15.75" customHeight="1">
      <c r="A430" s="2">
        <v>9</v>
      </c>
      <c r="B430" s="2" t="s">
        <v>37</v>
      </c>
      <c r="C430" s="2" t="s">
        <v>30</v>
      </c>
      <c r="D430" s="2" t="s">
        <v>26</v>
      </c>
      <c r="E430" s="2" t="s">
        <v>12</v>
      </c>
      <c r="F430" s="2">
        <v>611</v>
      </c>
      <c r="G430" s="2">
        <v>5169.72</v>
      </c>
      <c r="H430" s="2">
        <v>3158697</v>
      </c>
      <c r="I430" s="2">
        <v>560</v>
      </c>
    </row>
    <row r="431" spans="1:9" ht="15.75" customHeight="1">
      <c r="A431" s="2">
        <v>9</v>
      </c>
      <c r="B431" s="2" t="s">
        <v>37</v>
      </c>
      <c r="C431" s="2" t="s">
        <v>30</v>
      </c>
      <c r="D431" s="2" t="s">
        <v>26</v>
      </c>
      <c r="E431" s="2" t="s">
        <v>13</v>
      </c>
      <c r="F431" s="2">
        <v>221</v>
      </c>
      <c r="G431" s="2">
        <v>21112.89</v>
      </c>
      <c r="H431" s="2">
        <v>4665949</v>
      </c>
      <c r="I431" s="2">
        <v>172</v>
      </c>
    </row>
    <row r="432" spans="1:9" ht="15.75" customHeight="1">
      <c r="A432" s="2">
        <v>9</v>
      </c>
      <c r="B432" s="2" t="s">
        <v>37</v>
      </c>
      <c r="C432" s="2" t="s">
        <v>30</v>
      </c>
      <c r="D432" s="2" t="s">
        <v>26</v>
      </c>
      <c r="E432" s="2" t="s">
        <v>14</v>
      </c>
      <c r="F432" s="2">
        <v>437</v>
      </c>
      <c r="G432" s="2">
        <v>6390.53</v>
      </c>
      <c r="H432" s="2">
        <v>2792660</v>
      </c>
      <c r="I432" s="2">
        <v>392</v>
      </c>
    </row>
    <row r="433" spans="1:9" ht="15.75" customHeight="1">
      <c r="A433" s="2">
        <v>9</v>
      </c>
      <c r="B433" s="2" t="s">
        <v>37</v>
      </c>
      <c r="C433" s="2" t="s">
        <v>30</v>
      </c>
      <c r="D433" s="2" t="s">
        <v>26</v>
      </c>
      <c r="E433" s="2" t="s">
        <v>15</v>
      </c>
      <c r="F433" s="2">
        <v>1094</v>
      </c>
      <c r="G433" s="2">
        <v>1147.07</v>
      </c>
      <c r="H433" s="2">
        <v>1254895</v>
      </c>
      <c r="I433" s="2">
        <v>777</v>
      </c>
    </row>
    <row r="434" spans="1:9" ht="15.75" customHeight="1">
      <c r="A434" s="2">
        <v>10</v>
      </c>
      <c r="B434" s="2" t="s">
        <v>38</v>
      </c>
      <c r="C434" s="2" t="s">
        <v>28</v>
      </c>
      <c r="D434" s="2" t="s">
        <v>11</v>
      </c>
      <c r="E434" s="2" t="s">
        <v>12</v>
      </c>
      <c r="F434" s="2">
        <v>1193</v>
      </c>
      <c r="G434" s="2">
        <v>5401.2</v>
      </c>
      <c r="H434" s="2">
        <v>6443629</v>
      </c>
      <c r="I434" s="2">
        <v>982</v>
      </c>
    </row>
    <row r="435" spans="1:9" ht="15.75" customHeight="1">
      <c r="A435" s="2">
        <v>10</v>
      </c>
      <c r="B435" s="2" t="s">
        <v>38</v>
      </c>
      <c r="C435" s="2" t="s">
        <v>28</v>
      </c>
      <c r="D435" s="2" t="s">
        <v>11</v>
      </c>
      <c r="E435" s="2" t="s">
        <v>13</v>
      </c>
      <c r="F435" s="2">
        <v>134</v>
      </c>
      <c r="G435" s="2">
        <v>19902.07</v>
      </c>
      <c r="H435" s="2">
        <v>2666878</v>
      </c>
      <c r="I435" s="2">
        <v>101</v>
      </c>
    </row>
    <row r="436" spans="1:9" ht="15.75" customHeight="1">
      <c r="A436" s="2">
        <v>10</v>
      </c>
      <c r="B436" s="2" t="s">
        <v>38</v>
      </c>
      <c r="C436" s="2" t="s">
        <v>28</v>
      </c>
      <c r="D436" s="2" t="s">
        <v>11</v>
      </c>
      <c r="E436" s="2" t="s">
        <v>14</v>
      </c>
      <c r="F436" s="2">
        <v>406</v>
      </c>
      <c r="G436" s="2">
        <v>6622.79</v>
      </c>
      <c r="H436" s="2">
        <v>2688852</v>
      </c>
      <c r="I436" s="2">
        <v>372</v>
      </c>
    </row>
    <row r="437" spans="1:9" ht="15.75" customHeight="1">
      <c r="A437" s="2">
        <v>10</v>
      </c>
      <c r="B437" s="2" t="s">
        <v>38</v>
      </c>
      <c r="C437" s="2" t="s">
        <v>28</v>
      </c>
      <c r="D437" s="2" t="s">
        <v>11</v>
      </c>
      <c r="E437" s="2" t="s">
        <v>15</v>
      </c>
      <c r="F437" s="2">
        <v>558</v>
      </c>
      <c r="G437" s="2">
        <v>1033.1400000000001</v>
      </c>
      <c r="H437" s="2">
        <v>576493</v>
      </c>
      <c r="I437" s="2">
        <v>448</v>
      </c>
    </row>
    <row r="438" spans="1:9" ht="15.75" customHeight="1">
      <c r="A438" s="2">
        <v>10</v>
      </c>
      <c r="B438" s="2" t="s">
        <v>38</v>
      </c>
      <c r="C438" s="2" t="s">
        <v>28</v>
      </c>
      <c r="D438" s="2" t="s">
        <v>16</v>
      </c>
      <c r="E438" s="2" t="s">
        <v>12</v>
      </c>
      <c r="F438" s="2">
        <v>623</v>
      </c>
      <c r="G438" s="2">
        <v>4927.13</v>
      </c>
      <c r="H438" s="2">
        <v>3069604</v>
      </c>
      <c r="I438" s="2">
        <v>493</v>
      </c>
    </row>
    <row r="439" spans="1:9" ht="15.75" customHeight="1">
      <c r="A439" s="2">
        <v>10</v>
      </c>
      <c r="B439" s="2" t="s">
        <v>38</v>
      </c>
      <c r="C439" s="2" t="s">
        <v>28</v>
      </c>
      <c r="D439" s="2" t="s">
        <v>16</v>
      </c>
      <c r="E439" s="2" t="s">
        <v>13</v>
      </c>
      <c r="F439" s="2">
        <v>119</v>
      </c>
      <c r="G439" s="2">
        <v>20778.72</v>
      </c>
      <c r="H439" s="2">
        <v>2472668</v>
      </c>
      <c r="I439" s="2">
        <v>98</v>
      </c>
    </row>
    <row r="440" spans="1:9" ht="15.75" customHeight="1">
      <c r="A440" s="2">
        <v>10</v>
      </c>
      <c r="B440" s="2" t="s">
        <v>38</v>
      </c>
      <c r="C440" s="2" t="s">
        <v>28</v>
      </c>
      <c r="D440" s="2" t="s">
        <v>16</v>
      </c>
      <c r="E440" s="2" t="s">
        <v>14</v>
      </c>
      <c r="F440" s="2">
        <v>249</v>
      </c>
      <c r="G440" s="2">
        <v>6767.34</v>
      </c>
      <c r="H440" s="2">
        <v>1685067</v>
      </c>
      <c r="I440" s="2">
        <v>201</v>
      </c>
    </row>
    <row r="441" spans="1:9" ht="15.75" customHeight="1">
      <c r="A441" s="2">
        <v>10</v>
      </c>
      <c r="B441" s="2" t="s">
        <v>38</v>
      </c>
      <c r="C441" s="2" t="s">
        <v>28</v>
      </c>
      <c r="D441" s="2" t="s">
        <v>16</v>
      </c>
      <c r="E441" s="2" t="s">
        <v>15</v>
      </c>
      <c r="F441" s="2">
        <v>516</v>
      </c>
      <c r="G441" s="2">
        <v>1304.71</v>
      </c>
      <c r="H441" s="2">
        <v>673230</v>
      </c>
      <c r="I441" s="2">
        <v>412</v>
      </c>
    </row>
    <row r="442" spans="1:9" ht="15.75" customHeight="1">
      <c r="A442" s="2">
        <v>10</v>
      </c>
      <c r="B442" s="2" t="s">
        <v>38</v>
      </c>
      <c r="C442" s="2" t="s">
        <v>28</v>
      </c>
      <c r="D442" s="2" t="s">
        <v>17</v>
      </c>
      <c r="E442" s="2" t="s">
        <v>12</v>
      </c>
      <c r="F442" s="2">
        <v>1177</v>
      </c>
      <c r="G442" s="2">
        <v>5563.39</v>
      </c>
      <c r="H442" s="2">
        <v>6548109</v>
      </c>
      <c r="I442" s="2">
        <v>1016</v>
      </c>
    </row>
    <row r="443" spans="1:9" ht="15.75" customHeight="1">
      <c r="A443" s="2">
        <v>10</v>
      </c>
      <c r="B443" s="2" t="s">
        <v>38</v>
      </c>
      <c r="C443" s="2" t="s">
        <v>28</v>
      </c>
      <c r="D443" s="2" t="s">
        <v>17</v>
      </c>
      <c r="E443" s="2" t="s">
        <v>13</v>
      </c>
      <c r="F443" s="2">
        <v>214</v>
      </c>
      <c r="G443" s="2">
        <v>21851.439999999999</v>
      </c>
      <c r="H443" s="2">
        <v>4676209</v>
      </c>
      <c r="I443" s="2">
        <v>164</v>
      </c>
    </row>
    <row r="444" spans="1:9" ht="15.75" customHeight="1">
      <c r="A444" s="2">
        <v>10</v>
      </c>
      <c r="B444" s="2" t="s">
        <v>38</v>
      </c>
      <c r="C444" s="2" t="s">
        <v>28</v>
      </c>
      <c r="D444" s="2" t="s">
        <v>17</v>
      </c>
      <c r="E444" s="2" t="s">
        <v>14</v>
      </c>
      <c r="F444" s="2">
        <v>324</v>
      </c>
      <c r="G444" s="2">
        <v>6859.86</v>
      </c>
      <c r="H444" s="2">
        <v>2222594</v>
      </c>
      <c r="I444" s="2">
        <v>277</v>
      </c>
    </row>
    <row r="445" spans="1:9" ht="15.75" customHeight="1">
      <c r="A445" s="2">
        <v>10</v>
      </c>
      <c r="B445" s="2" t="s">
        <v>38</v>
      </c>
      <c r="C445" s="2" t="s">
        <v>28</v>
      </c>
      <c r="D445" s="2" t="s">
        <v>17</v>
      </c>
      <c r="E445" s="2" t="s">
        <v>15</v>
      </c>
      <c r="F445" s="2">
        <v>1136</v>
      </c>
      <c r="G445" s="2">
        <v>1074.6199999999999</v>
      </c>
      <c r="H445" s="2">
        <v>1220767</v>
      </c>
      <c r="I445" s="2">
        <v>832</v>
      </c>
    </row>
    <row r="446" spans="1:9" ht="15.75" customHeight="1">
      <c r="A446" s="2">
        <v>10</v>
      </c>
      <c r="B446" s="2" t="s">
        <v>38</v>
      </c>
      <c r="C446" s="2" t="s">
        <v>28</v>
      </c>
      <c r="D446" s="2" t="s">
        <v>18</v>
      </c>
      <c r="E446" s="2" t="s">
        <v>12</v>
      </c>
      <c r="F446" s="2">
        <v>1119</v>
      </c>
      <c r="G446" s="2">
        <v>5631.4</v>
      </c>
      <c r="H446" s="2">
        <v>6301534</v>
      </c>
      <c r="I446" s="2">
        <v>960</v>
      </c>
    </row>
    <row r="447" spans="1:9" ht="15.75" customHeight="1">
      <c r="A447" s="2">
        <v>10</v>
      </c>
      <c r="B447" s="2" t="s">
        <v>38</v>
      </c>
      <c r="C447" s="2" t="s">
        <v>28</v>
      </c>
      <c r="D447" s="2" t="s">
        <v>18</v>
      </c>
      <c r="E447" s="2" t="s">
        <v>13</v>
      </c>
      <c r="F447" s="2">
        <v>113</v>
      </c>
      <c r="G447" s="2">
        <v>20267.669999999998</v>
      </c>
      <c r="H447" s="2">
        <v>2290246</v>
      </c>
      <c r="I447" s="2">
        <v>106</v>
      </c>
    </row>
    <row r="448" spans="1:9" ht="15.75" customHeight="1">
      <c r="A448" s="2">
        <v>10</v>
      </c>
      <c r="B448" s="2" t="s">
        <v>38</v>
      </c>
      <c r="C448" s="2" t="s">
        <v>28</v>
      </c>
      <c r="D448" s="2" t="s">
        <v>18</v>
      </c>
      <c r="E448" s="2" t="s">
        <v>14</v>
      </c>
      <c r="F448" s="2">
        <v>492</v>
      </c>
      <c r="G448" s="2">
        <v>6692.33</v>
      </c>
      <c r="H448" s="2">
        <v>3292628</v>
      </c>
      <c r="I448" s="2">
        <v>374</v>
      </c>
    </row>
    <row r="449" spans="1:9" ht="15.75" customHeight="1">
      <c r="A449" s="2">
        <v>10</v>
      </c>
      <c r="B449" s="2" t="s">
        <v>38</v>
      </c>
      <c r="C449" s="2" t="s">
        <v>28</v>
      </c>
      <c r="D449" s="2" t="s">
        <v>18</v>
      </c>
      <c r="E449" s="2" t="s">
        <v>15</v>
      </c>
      <c r="F449" s="2">
        <v>780</v>
      </c>
      <c r="G449" s="2">
        <v>1317.27</v>
      </c>
      <c r="H449" s="2">
        <v>1027473</v>
      </c>
      <c r="I449" s="2">
        <v>632</v>
      </c>
    </row>
    <row r="450" spans="1:9" ht="15.75" customHeight="1">
      <c r="A450" s="2">
        <v>10</v>
      </c>
      <c r="B450" s="2" t="s">
        <v>38</v>
      </c>
      <c r="C450" s="2" t="s">
        <v>28</v>
      </c>
      <c r="D450" s="2" t="s">
        <v>19</v>
      </c>
      <c r="E450" s="2" t="s">
        <v>12</v>
      </c>
      <c r="F450" s="2">
        <v>1103</v>
      </c>
      <c r="G450" s="2">
        <v>5662.34</v>
      </c>
      <c r="H450" s="2">
        <v>6245559</v>
      </c>
      <c r="I450" s="2">
        <v>798</v>
      </c>
    </row>
    <row r="451" spans="1:9" ht="15.75" customHeight="1">
      <c r="A451" s="2">
        <v>10</v>
      </c>
      <c r="B451" s="2" t="s">
        <v>38</v>
      </c>
      <c r="C451" s="2" t="s">
        <v>28</v>
      </c>
      <c r="D451" s="2" t="s">
        <v>19</v>
      </c>
      <c r="E451" s="2" t="s">
        <v>13</v>
      </c>
      <c r="F451" s="2">
        <v>244</v>
      </c>
      <c r="G451" s="2">
        <v>22207.78</v>
      </c>
      <c r="H451" s="2">
        <v>5418699</v>
      </c>
      <c r="I451" s="2">
        <v>194</v>
      </c>
    </row>
    <row r="452" spans="1:9" ht="15.75" customHeight="1">
      <c r="A452" s="2">
        <v>10</v>
      </c>
      <c r="B452" s="2" t="s">
        <v>38</v>
      </c>
      <c r="C452" s="2" t="s">
        <v>28</v>
      </c>
      <c r="D452" s="2" t="s">
        <v>19</v>
      </c>
      <c r="E452" s="2" t="s">
        <v>14</v>
      </c>
      <c r="F452" s="2">
        <v>227</v>
      </c>
      <c r="G452" s="2">
        <v>6942.19</v>
      </c>
      <c r="H452" s="2">
        <v>1575877</v>
      </c>
      <c r="I452" s="2">
        <v>177</v>
      </c>
    </row>
    <row r="453" spans="1:9" ht="15.75" customHeight="1">
      <c r="A453" s="2">
        <v>10</v>
      </c>
      <c r="B453" s="2" t="s">
        <v>38</v>
      </c>
      <c r="C453" s="2" t="s">
        <v>28</v>
      </c>
      <c r="D453" s="2" t="s">
        <v>19</v>
      </c>
      <c r="E453" s="2" t="s">
        <v>15</v>
      </c>
      <c r="F453" s="2">
        <v>823</v>
      </c>
      <c r="G453" s="2">
        <v>1075.42</v>
      </c>
      <c r="H453" s="2">
        <v>885073</v>
      </c>
      <c r="I453" s="2">
        <v>699</v>
      </c>
    </row>
    <row r="454" spans="1:9" ht="15.75" customHeight="1">
      <c r="A454" s="2">
        <v>10</v>
      </c>
      <c r="B454" s="2" t="s">
        <v>38</v>
      </c>
      <c r="C454" s="2" t="s">
        <v>28</v>
      </c>
      <c r="D454" s="2" t="s">
        <v>20</v>
      </c>
      <c r="E454" s="2" t="s">
        <v>12</v>
      </c>
      <c r="F454" s="2">
        <v>900</v>
      </c>
      <c r="G454" s="2">
        <v>5146.6099999999997</v>
      </c>
      <c r="H454" s="2">
        <v>4631948</v>
      </c>
      <c r="I454" s="2">
        <v>828</v>
      </c>
    </row>
    <row r="455" spans="1:9" ht="15.75" customHeight="1">
      <c r="A455" s="2">
        <v>10</v>
      </c>
      <c r="B455" s="2" t="s">
        <v>38</v>
      </c>
      <c r="C455" s="2" t="s">
        <v>28</v>
      </c>
      <c r="D455" s="2" t="s">
        <v>20</v>
      </c>
      <c r="E455" s="2" t="s">
        <v>13</v>
      </c>
      <c r="F455" s="2">
        <v>217</v>
      </c>
      <c r="G455" s="2">
        <v>20891.88</v>
      </c>
      <c r="H455" s="2">
        <v>4533538</v>
      </c>
      <c r="I455" s="2">
        <v>161</v>
      </c>
    </row>
    <row r="456" spans="1:9" ht="15.75" customHeight="1">
      <c r="A456" s="2">
        <v>10</v>
      </c>
      <c r="B456" s="2" t="s">
        <v>38</v>
      </c>
      <c r="C456" s="2" t="s">
        <v>28</v>
      </c>
      <c r="D456" s="2" t="s">
        <v>20</v>
      </c>
      <c r="E456" s="2" t="s">
        <v>14</v>
      </c>
      <c r="F456" s="2">
        <v>292</v>
      </c>
      <c r="G456" s="2">
        <v>6998.88</v>
      </c>
      <c r="H456" s="2">
        <v>2043673</v>
      </c>
      <c r="I456" s="2">
        <v>235</v>
      </c>
    </row>
    <row r="457" spans="1:9" ht="15.75" customHeight="1">
      <c r="A457" s="2">
        <v>10</v>
      </c>
      <c r="B457" s="2" t="s">
        <v>38</v>
      </c>
      <c r="C457" s="2" t="s">
        <v>28</v>
      </c>
      <c r="D457" s="2" t="s">
        <v>20</v>
      </c>
      <c r="E457" s="2" t="s">
        <v>15</v>
      </c>
      <c r="F457" s="2">
        <v>675</v>
      </c>
      <c r="G457" s="2">
        <v>1150.6199999999999</v>
      </c>
      <c r="H457" s="2">
        <v>776671</v>
      </c>
      <c r="I457" s="2">
        <v>571</v>
      </c>
    </row>
    <row r="458" spans="1:9" ht="15.75" customHeight="1">
      <c r="A458" s="2">
        <v>10</v>
      </c>
      <c r="B458" s="2" t="s">
        <v>38</v>
      </c>
      <c r="C458" s="2" t="s">
        <v>28</v>
      </c>
      <c r="D458" s="2" t="s">
        <v>21</v>
      </c>
      <c r="E458" s="2" t="s">
        <v>12</v>
      </c>
      <c r="F458" s="2">
        <v>1112</v>
      </c>
      <c r="G458" s="2">
        <v>5151.6000000000004</v>
      </c>
      <c r="H458" s="2">
        <v>5728575</v>
      </c>
      <c r="I458" s="2">
        <v>883</v>
      </c>
    </row>
    <row r="459" spans="1:9" ht="15.75" customHeight="1">
      <c r="A459" s="2">
        <v>10</v>
      </c>
      <c r="B459" s="2" t="s">
        <v>38</v>
      </c>
      <c r="C459" s="2" t="s">
        <v>28</v>
      </c>
      <c r="D459" s="2" t="s">
        <v>21</v>
      </c>
      <c r="E459" s="2" t="s">
        <v>13</v>
      </c>
      <c r="F459" s="2">
        <v>206</v>
      </c>
      <c r="G459" s="2">
        <v>20456.28</v>
      </c>
      <c r="H459" s="2">
        <v>4213993</v>
      </c>
      <c r="I459" s="2">
        <v>182</v>
      </c>
    </row>
    <row r="460" spans="1:9" ht="15.75" customHeight="1">
      <c r="A460" s="2">
        <v>10</v>
      </c>
      <c r="B460" s="2" t="s">
        <v>38</v>
      </c>
      <c r="C460" s="2" t="s">
        <v>28</v>
      </c>
      <c r="D460" s="2" t="s">
        <v>21</v>
      </c>
      <c r="E460" s="2" t="s">
        <v>14</v>
      </c>
      <c r="F460" s="2">
        <v>403</v>
      </c>
      <c r="G460" s="2">
        <v>7064.35</v>
      </c>
      <c r="H460" s="2">
        <v>2846934</v>
      </c>
      <c r="I460" s="2">
        <v>363</v>
      </c>
    </row>
    <row r="461" spans="1:9" ht="15.75" customHeight="1">
      <c r="A461" s="2">
        <v>10</v>
      </c>
      <c r="B461" s="2" t="s">
        <v>38</v>
      </c>
      <c r="C461" s="2" t="s">
        <v>28</v>
      </c>
      <c r="D461" s="2" t="s">
        <v>21</v>
      </c>
      <c r="E461" s="2" t="s">
        <v>15</v>
      </c>
      <c r="F461" s="2">
        <v>555</v>
      </c>
      <c r="G461" s="2">
        <v>1191.05</v>
      </c>
      <c r="H461" s="2">
        <v>661031</v>
      </c>
      <c r="I461" s="2">
        <v>508</v>
      </c>
    </row>
    <row r="462" spans="1:9" ht="15.75" customHeight="1">
      <c r="A462" s="2">
        <v>10</v>
      </c>
      <c r="B462" s="2" t="s">
        <v>38</v>
      </c>
      <c r="C462" s="2" t="s">
        <v>28</v>
      </c>
      <c r="D462" s="2" t="s">
        <v>22</v>
      </c>
      <c r="E462" s="2" t="s">
        <v>12</v>
      </c>
      <c r="F462" s="2">
        <v>850</v>
      </c>
      <c r="G462" s="2">
        <v>5234.62</v>
      </c>
      <c r="H462" s="2">
        <v>4449430</v>
      </c>
      <c r="I462" s="2">
        <v>607</v>
      </c>
    </row>
    <row r="463" spans="1:9" ht="15.75" customHeight="1">
      <c r="A463" s="2">
        <v>10</v>
      </c>
      <c r="B463" s="2" t="s">
        <v>38</v>
      </c>
      <c r="C463" s="2" t="s">
        <v>28</v>
      </c>
      <c r="D463" s="2" t="s">
        <v>22</v>
      </c>
      <c r="E463" s="2" t="s">
        <v>13</v>
      </c>
      <c r="F463" s="2">
        <v>136</v>
      </c>
      <c r="G463" s="2">
        <v>21059.24</v>
      </c>
      <c r="H463" s="2">
        <v>2864057</v>
      </c>
      <c r="I463" s="2">
        <v>127</v>
      </c>
    </row>
    <row r="464" spans="1:9" ht="15.75" customHeight="1">
      <c r="A464" s="2">
        <v>10</v>
      </c>
      <c r="B464" s="2" t="s">
        <v>38</v>
      </c>
      <c r="C464" s="2" t="s">
        <v>28</v>
      </c>
      <c r="D464" s="2" t="s">
        <v>22</v>
      </c>
      <c r="E464" s="2" t="s">
        <v>14</v>
      </c>
      <c r="F464" s="2">
        <v>484</v>
      </c>
      <c r="G464" s="2">
        <v>6328.8</v>
      </c>
      <c r="H464" s="2">
        <v>3063138</v>
      </c>
      <c r="I464" s="2">
        <v>360</v>
      </c>
    </row>
    <row r="465" spans="1:9" ht="15.75" customHeight="1">
      <c r="A465" s="2">
        <v>10</v>
      </c>
      <c r="B465" s="2" t="s">
        <v>38</v>
      </c>
      <c r="C465" s="2" t="s">
        <v>28</v>
      </c>
      <c r="D465" s="2" t="s">
        <v>22</v>
      </c>
      <c r="E465" s="2" t="s">
        <v>15</v>
      </c>
      <c r="F465" s="2">
        <v>458</v>
      </c>
      <c r="G465" s="2">
        <v>1262.92</v>
      </c>
      <c r="H465" s="2">
        <v>578420</v>
      </c>
      <c r="I465" s="2">
        <v>356</v>
      </c>
    </row>
    <row r="466" spans="1:9" ht="15.75" customHeight="1">
      <c r="A466" s="2">
        <v>10</v>
      </c>
      <c r="B466" s="2" t="s">
        <v>38</v>
      </c>
      <c r="C466" s="2" t="s">
        <v>28</v>
      </c>
      <c r="D466" s="2" t="s">
        <v>23</v>
      </c>
      <c r="E466" s="2" t="s">
        <v>12</v>
      </c>
      <c r="F466" s="2">
        <v>805</v>
      </c>
      <c r="G466" s="2">
        <v>5123.78</v>
      </c>
      <c r="H466" s="2">
        <v>4124642</v>
      </c>
      <c r="I466" s="2">
        <v>660</v>
      </c>
    </row>
    <row r="467" spans="1:9" ht="15.75" customHeight="1">
      <c r="A467" s="2">
        <v>10</v>
      </c>
      <c r="B467" s="2" t="s">
        <v>38</v>
      </c>
      <c r="C467" s="2" t="s">
        <v>28</v>
      </c>
      <c r="D467" s="2" t="s">
        <v>23</v>
      </c>
      <c r="E467" s="2" t="s">
        <v>13</v>
      </c>
      <c r="F467" s="2">
        <v>142</v>
      </c>
      <c r="G467" s="2">
        <v>22792.77</v>
      </c>
      <c r="H467" s="2">
        <v>3236573</v>
      </c>
      <c r="I467" s="2">
        <v>100</v>
      </c>
    </row>
    <row r="468" spans="1:9" ht="15.75" customHeight="1">
      <c r="A468" s="2">
        <v>10</v>
      </c>
      <c r="B468" s="2" t="s">
        <v>38</v>
      </c>
      <c r="C468" s="2" t="s">
        <v>28</v>
      </c>
      <c r="D468" s="2" t="s">
        <v>23</v>
      </c>
      <c r="E468" s="2" t="s">
        <v>14</v>
      </c>
      <c r="F468" s="2">
        <v>416</v>
      </c>
      <c r="G468" s="2">
        <v>6974.9</v>
      </c>
      <c r="H468" s="2">
        <v>2901558</v>
      </c>
      <c r="I468" s="2">
        <v>338</v>
      </c>
    </row>
    <row r="469" spans="1:9" ht="15.75" customHeight="1">
      <c r="A469" s="2">
        <v>10</v>
      </c>
      <c r="B469" s="2" t="s">
        <v>38</v>
      </c>
      <c r="C469" s="2" t="s">
        <v>28</v>
      </c>
      <c r="D469" s="2" t="s">
        <v>23</v>
      </c>
      <c r="E469" s="2" t="s">
        <v>15</v>
      </c>
      <c r="F469" s="2">
        <v>894</v>
      </c>
      <c r="G469" s="2">
        <v>1234.6500000000001</v>
      </c>
      <c r="H469" s="2">
        <v>1103776</v>
      </c>
      <c r="I469" s="2">
        <v>742</v>
      </c>
    </row>
    <row r="470" spans="1:9" ht="15.75" customHeight="1">
      <c r="A470" s="2">
        <v>10</v>
      </c>
      <c r="B470" s="2" t="s">
        <v>38</v>
      </c>
      <c r="C470" s="2" t="s">
        <v>28</v>
      </c>
      <c r="D470" s="2" t="s">
        <v>24</v>
      </c>
      <c r="E470" s="2" t="s">
        <v>12</v>
      </c>
      <c r="F470" s="2">
        <v>1027</v>
      </c>
      <c r="G470" s="2">
        <v>5086.8900000000003</v>
      </c>
      <c r="H470" s="2">
        <v>5224233</v>
      </c>
      <c r="I470" s="2">
        <v>752</v>
      </c>
    </row>
    <row r="471" spans="1:9" ht="15.75" customHeight="1">
      <c r="A471" s="2">
        <v>10</v>
      </c>
      <c r="B471" s="2" t="s">
        <v>38</v>
      </c>
      <c r="C471" s="2" t="s">
        <v>28</v>
      </c>
      <c r="D471" s="2" t="s">
        <v>24</v>
      </c>
      <c r="E471" s="2" t="s">
        <v>13</v>
      </c>
      <c r="F471" s="2">
        <v>151</v>
      </c>
      <c r="G471" s="2">
        <v>21573.439999999999</v>
      </c>
      <c r="H471" s="2">
        <v>3257590</v>
      </c>
      <c r="I471" s="2">
        <v>132</v>
      </c>
    </row>
    <row r="472" spans="1:9" ht="15.75" customHeight="1">
      <c r="A472" s="2">
        <v>10</v>
      </c>
      <c r="B472" s="2" t="s">
        <v>38</v>
      </c>
      <c r="C472" s="2" t="s">
        <v>28</v>
      </c>
      <c r="D472" s="2" t="s">
        <v>24</v>
      </c>
      <c r="E472" s="2" t="s">
        <v>14</v>
      </c>
      <c r="F472" s="2">
        <v>433</v>
      </c>
      <c r="G472" s="2">
        <v>6480.19</v>
      </c>
      <c r="H472" s="2">
        <v>2805924</v>
      </c>
      <c r="I472" s="2">
        <v>323</v>
      </c>
    </row>
    <row r="473" spans="1:9" ht="15.75" customHeight="1">
      <c r="A473" s="2">
        <v>10</v>
      </c>
      <c r="B473" s="2" t="s">
        <v>38</v>
      </c>
      <c r="C473" s="2" t="s">
        <v>28</v>
      </c>
      <c r="D473" s="2" t="s">
        <v>24</v>
      </c>
      <c r="E473" s="2" t="s">
        <v>15</v>
      </c>
      <c r="F473" s="2">
        <v>1175</v>
      </c>
      <c r="G473" s="2">
        <v>1250.54</v>
      </c>
      <c r="H473" s="2">
        <v>1469388</v>
      </c>
      <c r="I473" s="2">
        <v>868</v>
      </c>
    </row>
    <row r="474" spans="1:9" ht="15.75" customHeight="1">
      <c r="A474" s="2">
        <v>10</v>
      </c>
      <c r="B474" s="2" t="s">
        <v>38</v>
      </c>
      <c r="C474" s="2" t="s">
        <v>28</v>
      </c>
      <c r="D474" s="2" t="s">
        <v>25</v>
      </c>
      <c r="E474" s="2" t="s">
        <v>12</v>
      </c>
      <c r="F474" s="2">
        <v>957</v>
      </c>
      <c r="G474" s="2">
        <v>5261.86</v>
      </c>
      <c r="H474" s="2">
        <v>5035603</v>
      </c>
      <c r="I474" s="2">
        <v>835</v>
      </c>
    </row>
    <row r="475" spans="1:9" ht="15.75" customHeight="1">
      <c r="A475" s="2">
        <v>10</v>
      </c>
      <c r="B475" s="2" t="s">
        <v>38</v>
      </c>
      <c r="C475" s="2" t="s">
        <v>28</v>
      </c>
      <c r="D475" s="2" t="s">
        <v>25</v>
      </c>
      <c r="E475" s="2" t="s">
        <v>13</v>
      </c>
      <c r="F475" s="2">
        <v>154</v>
      </c>
      <c r="G475" s="2">
        <v>21673.95</v>
      </c>
      <c r="H475" s="2">
        <v>3337788</v>
      </c>
      <c r="I475" s="2">
        <v>145</v>
      </c>
    </row>
    <row r="476" spans="1:9" ht="15.75" customHeight="1">
      <c r="A476" s="2">
        <v>10</v>
      </c>
      <c r="B476" s="2" t="s">
        <v>38</v>
      </c>
      <c r="C476" s="2" t="s">
        <v>28</v>
      </c>
      <c r="D476" s="2" t="s">
        <v>25</v>
      </c>
      <c r="E476" s="2" t="s">
        <v>14</v>
      </c>
      <c r="F476" s="2">
        <v>313</v>
      </c>
      <c r="G476" s="2">
        <v>6900.54</v>
      </c>
      <c r="H476" s="2">
        <v>2159869</v>
      </c>
      <c r="I476" s="2">
        <v>286</v>
      </c>
    </row>
    <row r="477" spans="1:9" ht="15.75" customHeight="1">
      <c r="A477" s="2">
        <v>10</v>
      </c>
      <c r="B477" s="2" t="s">
        <v>38</v>
      </c>
      <c r="C477" s="2" t="s">
        <v>28</v>
      </c>
      <c r="D477" s="2" t="s">
        <v>25</v>
      </c>
      <c r="E477" s="2" t="s">
        <v>15</v>
      </c>
      <c r="F477" s="2">
        <v>987</v>
      </c>
      <c r="G477" s="2">
        <v>1148.31</v>
      </c>
      <c r="H477" s="2">
        <v>1133382</v>
      </c>
      <c r="I477" s="2">
        <v>718</v>
      </c>
    </row>
    <row r="478" spans="1:9" ht="15.75" customHeight="1">
      <c r="A478" s="2">
        <v>10</v>
      </c>
      <c r="B478" s="2" t="s">
        <v>38</v>
      </c>
      <c r="C478" s="2" t="s">
        <v>28</v>
      </c>
      <c r="D478" s="2" t="s">
        <v>26</v>
      </c>
      <c r="E478" s="2" t="s">
        <v>12</v>
      </c>
      <c r="F478" s="2">
        <v>944</v>
      </c>
      <c r="G478" s="2">
        <v>5521.11</v>
      </c>
      <c r="H478" s="2">
        <v>5211923</v>
      </c>
      <c r="I478" s="2">
        <v>711</v>
      </c>
    </row>
    <row r="479" spans="1:9" ht="15.75" customHeight="1">
      <c r="A479" s="2">
        <v>10</v>
      </c>
      <c r="B479" s="2" t="s">
        <v>38</v>
      </c>
      <c r="C479" s="2" t="s">
        <v>28</v>
      </c>
      <c r="D479" s="2" t="s">
        <v>26</v>
      </c>
      <c r="E479" s="2" t="s">
        <v>13</v>
      </c>
      <c r="F479" s="2">
        <v>241</v>
      </c>
      <c r="G479" s="2">
        <v>22449.62</v>
      </c>
      <c r="H479" s="2">
        <v>5410359</v>
      </c>
      <c r="I479" s="2">
        <v>192</v>
      </c>
    </row>
    <row r="480" spans="1:9" ht="15.75" customHeight="1">
      <c r="A480" s="2">
        <v>10</v>
      </c>
      <c r="B480" s="2" t="s">
        <v>38</v>
      </c>
      <c r="C480" s="2" t="s">
        <v>28</v>
      </c>
      <c r="D480" s="2" t="s">
        <v>26</v>
      </c>
      <c r="E480" s="2" t="s">
        <v>14</v>
      </c>
      <c r="F480" s="2">
        <v>268</v>
      </c>
      <c r="G480" s="2">
        <v>6144.72</v>
      </c>
      <c r="H480" s="2">
        <v>1646784</v>
      </c>
      <c r="I480" s="2">
        <v>198</v>
      </c>
    </row>
    <row r="481" spans="1:9" ht="15.75" customHeight="1">
      <c r="A481" s="2">
        <v>10</v>
      </c>
      <c r="B481" s="2" t="s">
        <v>38</v>
      </c>
      <c r="C481" s="2" t="s">
        <v>28</v>
      </c>
      <c r="D481" s="2" t="s">
        <v>26</v>
      </c>
      <c r="E481" s="2" t="s">
        <v>15</v>
      </c>
      <c r="F481" s="2">
        <v>1103</v>
      </c>
      <c r="G481" s="2">
        <v>1294.3499999999999</v>
      </c>
      <c r="H481" s="2">
        <v>1427664</v>
      </c>
      <c r="I481" s="2">
        <v>785</v>
      </c>
    </row>
    <row r="482" spans="1:9" ht="15.75" customHeight="1">
      <c r="A482" s="2">
        <v>11</v>
      </c>
      <c r="B482" s="2" t="s">
        <v>39</v>
      </c>
      <c r="C482" s="2" t="s">
        <v>10</v>
      </c>
      <c r="D482" s="2" t="s">
        <v>11</v>
      </c>
      <c r="E482" s="2" t="s">
        <v>12</v>
      </c>
      <c r="F482" s="2">
        <v>1184</v>
      </c>
      <c r="G482" s="2">
        <v>5233.1000000000004</v>
      </c>
      <c r="H482" s="2">
        <v>6195989</v>
      </c>
      <c r="I482" s="2">
        <v>914</v>
      </c>
    </row>
    <row r="483" spans="1:9" ht="15.75" customHeight="1">
      <c r="A483" s="2">
        <v>11</v>
      </c>
      <c r="B483" s="2" t="s">
        <v>39</v>
      </c>
      <c r="C483" s="2" t="s">
        <v>10</v>
      </c>
      <c r="D483" s="2" t="s">
        <v>11</v>
      </c>
      <c r="E483" s="2" t="s">
        <v>13</v>
      </c>
      <c r="F483" s="2">
        <v>167</v>
      </c>
      <c r="G483" s="2">
        <v>21664.95</v>
      </c>
      <c r="H483" s="2">
        <v>3618047</v>
      </c>
      <c r="I483" s="2">
        <v>144</v>
      </c>
    </row>
    <row r="484" spans="1:9" ht="15.75" customHeight="1">
      <c r="A484" s="2">
        <v>11</v>
      </c>
      <c r="B484" s="2" t="s">
        <v>39</v>
      </c>
      <c r="C484" s="2" t="s">
        <v>10</v>
      </c>
      <c r="D484" s="2" t="s">
        <v>11</v>
      </c>
      <c r="E484" s="2" t="s">
        <v>14</v>
      </c>
      <c r="F484" s="2">
        <v>301</v>
      </c>
      <c r="G484" s="2">
        <v>7056.84</v>
      </c>
      <c r="H484" s="2">
        <v>2124109</v>
      </c>
      <c r="I484" s="2">
        <v>271</v>
      </c>
    </row>
    <row r="485" spans="1:9" ht="15.75" customHeight="1">
      <c r="A485" s="2">
        <v>11</v>
      </c>
      <c r="B485" s="2" t="s">
        <v>39</v>
      </c>
      <c r="C485" s="2" t="s">
        <v>10</v>
      </c>
      <c r="D485" s="2" t="s">
        <v>11</v>
      </c>
      <c r="E485" s="2" t="s">
        <v>15</v>
      </c>
      <c r="F485" s="2">
        <v>993</v>
      </c>
      <c r="G485" s="2">
        <v>1077.24</v>
      </c>
      <c r="H485" s="2">
        <v>1069699</v>
      </c>
      <c r="I485" s="2">
        <v>913</v>
      </c>
    </row>
    <row r="486" spans="1:9" ht="15.75" customHeight="1">
      <c r="A486" s="2">
        <v>11</v>
      </c>
      <c r="B486" s="2" t="s">
        <v>39</v>
      </c>
      <c r="C486" s="2" t="s">
        <v>10</v>
      </c>
      <c r="D486" s="2" t="s">
        <v>16</v>
      </c>
      <c r="E486" s="2" t="s">
        <v>12</v>
      </c>
      <c r="F486" s="2">
        <v>878</v>
      </c>
      <c r="G486" s="2">
        <v>5557.95</v>
      </c>
      <c r="H486" s="2">
        <v>4879881</v>
      </c>
      <c r="I486" s="2">
        <v>640</v>
      </c>
    </row>
    <row r="487" spans="1:9" ht="15.75" customHeight="1">
      <c r="A487" s="2">
        <v>11</v>
      </c>
      <c r="B487" s="2" t="s">
        <v>39</v>
      </c>
      <c r="C487" s="2" t="s">
        <v>10</v>
      </c>
      <c r="D487" s="2" t="s">
        <v>16</v>
      </c>
      <c r="E487" s="2" t="s">
        <v>13</v>
      </c>
      <c r="F487" s="2">
        <v>153</v>
      </c>
      <c r="G487" s="2">
        <v>21290.880000000001</v>
      </c>
      <c r="H487" s="2">
        <v>3257505</v>
      </c>
      <c r="I487" s="2">
        <v>131</v>
      </c>
    </row>
    <row r="488" spans="1:9" ht="15.75" customHeight="1">
      <c r="A488" s="2">
        <v>11</v>
      </c>
      <c r="B488" s="2" t="s">
        <v>39</v>
      </c>
      <c r="C488" s="2" t="s">
        <v>10</v>
      </c>
      <c r="D488" s="2" t="s">
        <v>16</v>
      </c>
      <c r="E488" s="2" t="s">
        <v>14</v>
      </c>
      <c r="F488" s="2">
        <v>412</v>
      </c>
      <c r="G488" s="2">
        <v>6371.12</v>
      </c>
      <c r="H488" s="2">
        <v>2624900</v>
      </c>
      <c r="I488" s="2">
        <v>329</v>
      </c>
    </row>
    <row r="489" spans="1:9" ht="15.75" customHeight="1">
      <c r="A489" s="2">
        <v>11</v>
      </c>
      <c r="B489" s="2" t="s">
        <v>39</v>
      </c>
      <c r="C489" s="2" t="s">
        <v>10</v>
      </c>
      <c r="D489" s="2" t="s">
        <v>16</v>
      </c>
      <c r="E489" s="2" t="s">
        <v>15</v>
      </c>
      <c r="F489" s="2">
        <v>1004</v>
      </c>
      <c r="G489" s="2">
        <v>1055.99</v>
      </c>
      <c r="H489" s="2">
        <v>1060219</v>
      </c>
      <c r="I489" s="2">
        <v>815</v>
      </c>
    </row>
    <row r="490" spans="1:9" ht="15.75" customHeight="1">
      <c r="A490" s="2">
        <v>11</v>
      </c>
      <c r="B490" s="2" t="s">
        <v>39</v>
      </c>
      <c r="C490" s="2" t="s">
        <v>10</v>
      </c>
      <c r="D490" s="2" t="s">
        <v>17</v>
      </c>
      <c r="E490" s="2" t="s">
        <v>12</v>
      </c>
      <c r="F490" s="2">
        <v>904</v>
      </c>
      <c r="G490" s="2">
        <v>4869.75</v>
      </c>
      <c r="H490" s="2">
        <v>4402258</v>
      </c>
      <c r="I490" s="2">
        <v>636</v>
      </c>
    </row>
    <row r="491" spans="1:9" ht="15.75" customHeight="1">
      <c r="A491" s="2">
        <v>11</v>
      </c>
      <c r="B491" s="2" t="s">
        <v>39</v>
      </c>
      <c r="C491" s="2" t="s">
        <v>10</v>
      </c>
      <c r="D491" s="2" t="s">
        <v>17</v>
      </c>
      <c r="E491" s="2" t="s">
        <v>13</v>
      </c>
      <c r="F491" s="2">
        <v>110</v>
      </c>
      <c r="G491" s="2">
        <v>22914.639999999999</v>
      </c>
      <c r="H491" s="2">
        <v>2520610</v>
      </c>
      <c r="I491" s="2">
        <v>93</v>
      </c>
    </row>
    <row r="492" spans="1:9" ht="15.75" customHeight="1">
      <c r="A492" s="2">
        <v>11</v>
      </c>
      <c r="B492" s="2" t="s">
        <v>39</v>
      </c>
      <c r="C492" s="2" t="s">
        <v>10</v>
      </c>
      <c r="D492" s="2" t="s">
        <v>17</v>
      </c>
      <c r="E492" s="2" t="s">
        <v>14</v>
      </c>
      <c r="F492" s="2">
        <v>309</v>
      </c>
      <c r="G492" s="2">
        <v>7080.75</v>
      </c>
      <c r="H492" s="2">
        <v>2187953</v>
      </c>
      <c r="I492" s="2">
        <v>254</v>
      </c>
    </row>
    <row r="493" spans="1:9" ht="15.75" customHeight="1">
      <c r="A493" s="2">
        <v>11</v>
      </c>
      <c r="B493" s="2" t="s">
        <v>39</v>
      </c>
      <c r="C493" s="2" t="s">
        <v>10</v>
      </c>
      <c r="D493" s="2" t="s">
        <v>17</v>
      </c>
      <c r="E493" s="2" t="s">
        <v>15</v>
      </c>
      <c r="F493" s="2">
        <v>484</v>
      </c>
      <c r="G493" s="2">
        <v>1269.77</v>
      </c>
      <c r="H493" s="2">
        <v>614570</v>
      </c>
      <c r="I493" s="2">
        <v>443</v>
      </c>
    </row>
    <row r="494" spans="1:9" ht="15.75" customHeight="1">
      <c r="A494" s="2">
        <v>11</v>
      </c>
      <c r="B494" s="2" t="s">
        <v>39</v>
      </c>
      <c r="C494" s="2" t="s">
        <v>10</v>
      </c>
      <c r="D494" s="2" t="s">
        <v>18</v>
      </c>
      <c r="E494" s="2" t="s">
        <v>12</v>
      </c>
      <c r="F494" s="2">
        <v>1049</v>
      </c>
      <c r="G494" s="2">
        <v>5209.1499999999996</v>
      </c>
      <c r="H494" s="2">
        <v>5464400</v>
      </c>
      <c r="I494" s="2">
        <v>823</v>
      </c>
    </row>
    <row r="495" spans="1:9" ht="15.75" customHeight="1">
      <c r="A495" s="2">
        <v>11</v>
      </c>
      <c r="B495" s="2" t="s">
        <v>39</v>
      </c>
      <c r="C495" s="2" t="s">
        <v>10</v>
      </c>
      <c r="D495" s="2" t="s">
        <v>18</v>
      </c>
      <c r="E495" s="2" t="s">
        <v>13</v>
      </c>
      <c r="F495" s="2">
        <v>111</v>
      </c>
      <c r="G495" s="2">
        <v>21484.05</v>
      </c>
      <c r="H495" s="2">
        <v>2384730</v>
      </c>
      <c r="I495" s="2">
        <v>81</v>
      </c>
    </row>
    <row r="496" spans="1:9" ht="15.75" customHeight="1">
      <c r="A496" s="2">
        <v>11</v>
      </c>
      <c r="B496" s="2" t="s">
        <v>39</v>
      </c>
      <c r="C496" s="2" t="s">
        <v>10</v>
      </c>
      <c r="D496" s="2" t="s">
        <v>18</v>
      </c>
      <c r="E496" s="2" t="s">
        <v>14</v>
      </c>
      <c r="F496" s="2">
        <v>492</v>
      </c>
      <c r="G496" s="2">
        <v>6655</v>
      </c>
      <c r="H496" s="2">
        <v>3274262</v>
      </c>
      <c r="I496" s="2">
        <v>392</v>
      </c>
    </row>
    <row r="497" spans="1:9" ht="15.75" customHeight="1">
      <c r="A497" s="2">
        <v>11</v>
      </c>
      <c r="B497" s="2" t="s">
        <v>39</v>
      </c>
      <c r="C497" s="2" t="s">
        <v>10</v>
      </c>
      <c r="D497" s="2" t="s">
        <v>18</v>
      </c>
      <c r="E497" s="2" t="s">
        <v>15</v>
      </c>
      <c r="F497" s="2">
        <v>742</v>
      </c>
      <c r="G497" s="2">
        <v>1036.57</v>
      </c>
      <c r="H497" s="2">
        <v>769135</v>
      </c>
      <c r="I497" s="2">
        <v>670</v>
      </c>
    </row>
    <row r="498" spans="1:9" ht="15.75" customHeight="1">
      <c r="A498" s="2">
        <v>11</v>
      </c>
      <c r="B498" s="2" t="s">
        <v>39</v>
      </c>
      <c r="C498" s="2" t="s">
        <v>10</v>
      </c>
      <c r="D498" s="2" t="s">
        <v>19</v>
      </c>
      <c r="E498" s="2" t="s">
        <v>12</v>
      </c>
      <c r="F498" s="2">
        <v>1097</v>
      </c>
      <c r="G498" s="2">
        <v>5335.88</v>
      </c>
      <c r="H498" s="2">
        <v>5853464</v>
      </c>
      <c r="I498" s="2">
        <v>993</v>
      </c>
    </row>
    <row r="499" spans="1:9" ht="15.75" customHeight="1">
      <c r="A499" s="2">
        <v>11</v>
      </c>
      <c r="B499" s="2" t="s">
        <v>39</v>
      </c>
      <c r="C499" s="2" t="s">
        <v>10</v>
      </c>
      <c r="D499" s="2" t="s">
        <v>19</v>
      </c>
      <c r="E499" s="2" t="s">
        <v>13</v>
      </c>
      <c r="F499" s="2">
        <v>206</v>
      </c>
      <c r="G499" s="2">
        <v>22956.62</v>
      </c>
      <c r="H499" s="2">
        <v>4729065</v>
      </c>
      <c r="I499" s="2">
        <v>144</v>
      </c>
    </row>
    <row r="500" spans="1:9" ht="15.75" customHeight="1">
      <c r="A500" s="2">
        <v>11</v>
      </c>
      <c r="B500" s="2" t="s">
        <v>39</v>
      </c>
      <c r="C500" s="2" t="s">
        <v>10</v>
      </c>
      <c r="D500" s="2" t="s">
        <v>19</v>
      </c>
      <c r="E500" s="2" t="s">
        <v>14</v>
      </c>
      <c r="F500" s="2">
        <v>316</v>
      </c>
      <c r="G500" s="2">
        <v>6624.19</v>
      </c>
      <c r="H500" s="2">
        <v>2093245</v>
      </c>
      <c r="I500" s="2">
        <v>294</v>
      </c>
    </row>
    <row r="501" spans="1:9" ht="15.75" customHeight="1">
      <c r="A501" s="2">
        <v>11</v>
      </c>
      <c r="B501" s="2" t="s">
        <v>39</v>
      </c>
      <c r="C501" s="2" t="s">
        <v>10</v>
      </c>
      <c r="D501" s="2" t="s">
        <v>19</v>
      </c>
      <c r="E501" s="2" t="s">
        <v>15</v>
      </c>
      <c r="F501" s="2">
        <v>1182</v>
      </c>
      <c r="G501" s="2">
        <v>1239.21</v>
      </c>
      <c r="H501" s="2">
        <v>1464744</v>
      </c>
      <c r="I501" s="2">
        <v>885</v>
      </c>
    </row>
    <row r="502" spans="1:9" ht="15.75" customHeight="1">
      <c r="A502" s="2">
        <v>11</v>
      </c>
      <c r="B502" s="2" t="s">
        <v>39</v>
      </c>
      <c r="C502" s="2" t="s">
        <v>10</v>
      </c>
      <c r="D502" s="2" t="s">
        <v>20</v>
      </c>
      <c r="E502" s="2" t="s">
        <v>12</v>
      </c>
      <c r="F502" s="2">
        <v>740</v>
      </c>
      <c r="G502" s="2">
        <v>5149.21</v>
      </c>
      <c r="H502" s="2">
        <v>3810413</v>
      </c>
      <c r="I502" s="2">
        <v>607</v>
      </c>
    </row>
    <row r="503" spans="1:9" ht="15.75" customHeight="1">
      <c r="A503" s="2">
        <v>11</v>
      </c>
      <c r="B503" s="2" t="s">
        <v>39</v>
      </c>
      <c r="C503" s="2" t="s">
        <v>10</v>
      </c>
      <c r="D503" s="2" t="s">
        <v>20</v>
      </c>
      <c r="E503" s="2" t="s">
        <v>13</v>
      </c>
      <c r="F503" s="2">
        <v>216</v>
      </c>
      <c r="G503" s="2">
        <v>21275.46</v>
      </c>
      <c r="H503" s="2">
        <v>4595499</v>
      </c>
      <c r="I503" s="2">
        <v>166</v>
      </c>
    </row>
    <row r="504" spans="1:9" ht="15.75" customHeight="1">
      <c r="A504" s="2">
        <v>11</v>
      </c>
      <c r="B504" s="2" t="s">
        <v>39</v>
      </c>
      <c r="C504" s="2" t="s">
        <v>10</v>
      </c>
      <c r="D504" s="2" t="s">
        <v>20</v>
      </c>
      <c r="E504" s="2" t="s">
        <v>14</v>
      </c>
      <c r="F504" s="2">
        <v>226</v>
      </c>
      <c r="G504" s="2">
        <v>6717.34</v>
      </c>
      <c r="H504" s="2">
        <v>1518119</v>
      </c>
      <c r="I504" s="2">
        <v>191</v>
      </c>
    </row>
    <row r="505" spans="1:9" ht="15.75" customHeight="1">
      <c r="A505" s="2">
        <v>11</v>
      </c>
      <c r="B505" s="2" t="s">
        <v>39</v>
      </c>
      <c r="C505" s="2" t="s">
        <v>10</v>
      </c>
      <c r="D505" s="2" t="s">
        <v>20</v>
      </c>
      <c r="E505" s="2" t="s">
        <v>15</v>
      </c>
      <c r="F505" s="2">
        <v>505</v>
      </c>
      <c r="G505" s="2">
        <v>1276.97</v>
      </c>
      <c r="H505" s="2">
        <v>644868</v>
      </c>
      <c r="I505" s="2">
        <v>430</v>
      </c>
    </row>
    <row r="506" spans="1:9" ht="15.75" customHeight="1">
      <c r="A506" s="2">
        <v>11</v>
      </c>
      <c r="B506" s="2" t="s">
        <v>39</v>
      </c>
      <c r="C506" s="2" t="s">
        <v>10</v>
      </c>
      <c r="D506" s="2" t="s">
        <v>21</v>
      </c>
      <c r="E506" s="2" t="s">
        <v>12</v>
      </c>
      <c r="F506" s="2">
        <v>601</v>
      </c>
      <c r="G506" s="2">
        <v>5179.34</v>
      </c>
      <c r="H506" s="2">
        <v>3112781</v>
      </c>
      <c r="I506" s="2">
        <v>439</v>
      </c>
    </row>
    <row r="507" spans="1:9" ht="15.75" customHeight="1">
      <c r="A507" s="2">
        <v>11</v>
      </c>
      <c r="B507" s="2" t="s">
        <v>39</v>
      </c>
      <c r="C507" s="2" t="s">
        <v>10</v>
      </c>
      <c r="D507" s="2" t="s">
        <v>21</v>
      </c>
      <c r="E507" s="2" t="s">
        <v>13</v>
      </c>
      <c r="F507" s="2">
        <v>106</v>
      </c>
      <c r="G507" s="2">
        <v>20230.55</v>
      </c>
      <c r="H507" s="2">
        <v>2144438</v>
      </c>
      <c r="I507" s="2">
        <v>92</v>
      </c>
    </row>
    <row r="508" spans="1:9" ht="15.75" customHeight="1">
      <c r="A508" s="2">
        <v>11</v>
      </c>
      <c r="B508" s="2" t="s">
        <v>39</v>
      </c>
      <c r="C508" s="2" t="s">
        <v>10</v>
      </c>
      <c r="D508" s="2" t="s">
        <v>21</v>
      </c>
      <c r="E508" s="2" t="s">
        <v>14</v>
      </c>
      <c r="F508" s="2">
        <v>273</v>
      </c>
      <c r="G508" s="2">
        <v>6537.9</v>
      </c>
      <c r="H508" s="2">
        <v>1784848</v>
      </c>
      <c r="I508" s="2">
        <v>211</v>
      </c>
    </row>
    <row r="509" spans="1:9" ht="15.75" customHeight="1">
      <c r="A509" s="2">
        <v>11</v>
      </c>
      <c r="B509" s="2" t="s">
        <v>39</v>
      </c>
      <c r="C509" s="2" t="s">
        <v>10</v>
      </c>
      <c r="D509" s="2" t="s">
        <v>21</v>
      </c>
      <c r="E509" s="2" t="s">
        <v>15</v>
      </c>
      <c r="F509" s="2">
        <v>640</v>
      </c>
      <c r="G509" s="2">
        <v>1251.3499999999999</v>
      </c>
      <c r="H509" s="2">
        <v>800867</v>
      </c>
      <c r="I509" s="2">
        <v>538</v>
      </c>
    </row>
    <row r="510" spans="1:9" ht="15.75" customHeight="1">
      <c r="A510" s="2">
        <v>11</v>
      </c>
      <c r="B510" s="2" t="s">
        <v>39</v>
      </c>
      <c r="C510" s="2" t="s">
        <v>10</v>
      </c>
      <c r="D510" s="2" t="s">
        <v>22</v>
      </c>
      <c r="E510" s="2" t="s">
        <v>12</v>
      </c>
      <c r="F510" s="2">
        <v>897</v>
      </c>
      <c r="G510" s="2">
        <v>5271.23</v>
      </c>
      <c r="H510" s="2">
        <v>4728294</v>
      </c>
      <c r="I510" s="2">
        <v>647</v>
      </c>
    </row>
    <row r="511" spans="1:9" ht="15.75" customHeight="1">
      <c r="A511" s="2">
        <v>11</v>
      </c>
      <c r="B511" s="2" t="s">
        <v>39</v>
      </c>
      <c r="C511" s="2" t="s">
        <v>10</v>
      </c>
      <c r="D511" s="2" t="s">
        <v>22</v>
      </c>
      <c r="E511" s="2" t="s">
        <v>13</v>
      </c>
      <c r="F511" s="2">
        <v>153</v>
      </c>
      <c r="G511" s="2">
        <v>22136.97</v>
      </c>
      <c r="H511" s="2">
        <v>3386956</v>
      </c>
      <c r="I511" s="2">
        <v>128</v>
      </c>
    </row>
    <row r="512" spans="1:9" ht="15.75" customHeight="1">
      <c r="A512" s="2">
        <v>11</v>
      </c>
      <c r="B512" s="2" t="s">
        <v>39</v>
      </c>
      <c r="C512" s="2" t="s">
        <v>10</v>
      </c>
      <c r="D512" s="2" t="s">
        <v>22</v>
      </c>
      <c r="E512" s="2" t="s">
        <v>14</v>
      </c>
      <c r="F512" s="2">
        <v>372</v>
      </c>
      <c r="G512" s="2">
        <v>6841.59</v>
      </c>
      <c r="H512" s="2">
        <v>2545071</v>
      </c>
      <c r="I512" s="2">
        <v>316</v>
      </c>
    </row>
    <row r="513" spans="1:9" ht="15.75" customHeight="1">
      <c r="A513" s="2">
        <v>11</v>
      </c>
      <c r="B513" s="2" t="s">
        <v>39</v>
      </c>
      <c r="C513" s="2" t="s">
        <v>10</v>
      </c>
      <c r="D513" s="2" t="s">
        <v>22</v>
      </c>
      <c r="E513" s="2" t="s">
        <v>15</v>
      </c>
      <c r="F513" s="2">
        <v>517</v>
      </c>
      <c r="G513" s="2">
        <v>1213.92</v>
      </c>
      <c r="H513" s="2">
        <v>627597</v>
      </c>
      <c r="I513" s="2">
        <v>428</v>
      </c>
    </row>
    <row r="514" spans="1:9" ht="15.75" customHeight="1">
      <c r="A514" s="2">
        <v>11</v>
      </c>
      <c r="B514" s="2" t="s">
        <v>39</v>
      </c>
      <c r="C514" s="2" t="s">
        <v>10</v>
      </c>
      <c r="D514" s="2" t="s">
        <v>23</v>
      </c>
      <c r="E514" s="2" t="s">
        <v>12</v>
      </c>
      <c r="F514" s="2">
        <v>819</v>
      </c>
      <c r="G514" s="2">
        <v>5159.6000000000004</v>
      </c>
      <c r="H514" s="2">
        <v>4225714</v>
      </c>
      <c r="I514" s="2">
        <v>698</v>
      </c>
    </row>
    <row r="515" spans="1:9" ht="15.75" customHeight="1">
      <c r="A515" s="2">
        <v>11</v>
      </c>
      <c r="B515" s="2" t="s">
        <v>39</v>
      </c>
      <c r="C515" s="2" t="s">
        <v>10</v>
      </c>
      <c r="D515" s="2" t="s">
        <v>23</v>
      </c>
      <c r="E515" s="2" t="s">
        <v>13</v>
      </c>
      <c r="F515" s="2">
        <v>221</v>
      </c>
      <c r="G515" s="2">
        <v>20969.68</v>
      </c>
      <c r="H515" s="2">
        <v>4634299</v>
      </c>
      <c r="I515" s="2">
        <v>174</v>
      </c>
    </row>
    <row r="516" spans="1:9" ht="15.75" customHeight="1">
      <c r="A516" s="2">
        <v>11</v>
      </c>
      <c r="B516" s="2" t="s">
        <v>39</v>
      </c>
      <c r="C516" s="2" t="s">
        <v>10</v>
      </c>
      <c r="D516" s="2" t="s">
        <v>23</v>
      </c>
      <c r="E516" s="2" t="s">
        <v>14</v>
      </c>
      <c r="F516" s="2">
        <v>369</v>
      </c>
      <c r="G516" s="2">
        <v>6617.4</v>
      </c>
      <c r="H516" s="2">
        <v>2441822</v>
      </c>
      <c r="I516" s="2">
        <v>280</v>
      </c>
    </row>
    <row r="517" spans="1:9" ht="15.75" customHeight="1">
      <c r="A517" s="2">
        <v>11</v>
      </c>
      <c r="B517" s="2" t="s">
        <v>39</v>
      </c>
      <c r="C517" s="2" t="s">
        <v>10</v>
      </c>
      <c r="D517" s="2" t="s">
        <v>23</v>
      </c>
      <c r="E517" s="2" t="s">
        <v>15</v>
      </c>
      <c r="F517" s="2">
        <v>692</v>
      </c>
      <c r="G517" s="2">
        <v>1275.1400000000001</v>
      </c>
      <c r="H517" s="2">
        <v>882395</v>
      </c>
      <c r="I517" s="2">
        <v>536</v>
      </c>
    </row>
    <row r="518" spans="1:9" ht="15.75" customHeight="1">
      <c r="A518" s="2">
        <v>11</v>
      </c>
      <c r="B518" s="2" t="s">
        <v>39</v>
      </c>
      <c r="C518" s="2" t="s">
        <v>10</v>
      </c>
      <c r="D518" s="2" t="s">
        <v>24</v>
      </c>
      <c r="E518" s="2" t="s">
        <v>12</v>
      </c>
      <c r="F518" s="2">
        <v>1130</v>
      </c>
      <c r="G518" s="2">
        <v>5387.11</v>
      </c>
      <c r="H518" s="2">
        <v>6087436</v>
      </c>
      <c r="I518" s="2">
        <v>1019</v>
      </c>
    </row>
    <row r="519" spans="1:9" ht="15.75" customHeight="1">
      <c r="A519" s="2">
        <v>11</v>
      </c>
      <c r="B519" s="2" t="s">
        <v>39</v>
      </c>
      <c r="C519" s="2" t="s">
        <v>10</v>
      </c>
      <c r="D519" s="2" t="s">
        <v>24</v>
      </c>
      <c r="E519" s="2" t="s">
        <v>13</v>
      </c>
      <c r="F519" s="2">
        <v>246</v>
      </c>
      <c r="G519" s="2">
        <v>22213.81</v>
      </c>
      <c r="H519" s="2">
        <v>5464597</v>
      </c>
      <c r="I519" s="2">
        <v>210</v>
      </c>
    </row>
    <row r="520" spans="1:9" ht="15.75" customHeight="1">
      <c r="A520" s="2">
        <v>11</v>
      </c>
      <c r="B520" s="2" t="s">
        <v>39</v>
      </c>
      <c r="C520" s="2" t="s">
        <v>10</v>
      </c>
      <c r="D520" s="2" t="s">
        <v>24</v>
      </c>
      <c r="E520" s="2" t="s">
        <v>14</v>
      </c>
      <c r="F520" s="2">
        <v>441</v>
      </c>
      <c r="G520" s="2">
        <v>6565.86</v>
      </c>
      <c r="H520" s="2">
        <v>2895543</v>
      </c>
      <c r="I520" s="2">
        <v>404</v>
      </c>
    </row>
    <row r="521" spans="1:9" ht="15.75" customHeight="1">
      <c r="A521" s="2">
        <v>11</v>
      </c>
      <c r="B521" s="2" t="s">
        <v>39</v>
      </c>
      <c r="C521" s="2" t="s">
        <v>10</v>
      </c>
      <c r="D521" s="2" t="s">
        <v>24</v>
      </c>
      <c r="E521" s="2" t="s">
        <v>15</v>
      </c>
      <c r="F521" s="2">
        <v>1072</v>
      </c>
      <c r="G521" s="2">
        <v>1141.3900000000001</v>
      </c>
      <c r="H521" s="2">
        <v>1223575</v>
      </c>
      <c r="I521" s="2">
        <v>808</v>
      </c>
    </row>
    <row r="522" spans="1:9" ht="15.75" customHeight="1">
      <c r="A522" s="2">
        <v>11</v>
      </c>
      <c r="B522" s="2" t="s">
        <v>39</v>
      </c>
      <c r="C522" s="2" t="s">
        <v>10</v>
      </c>
      <c r="D522" s="2" t="s">
        <v>25</v>
      </c>
      <c r="E522" s="2" t="s">
        <v>12</v>
      </c>
      <c r="F522" s="2">
        <v>1031</v>
      </c>
      <c r="G522" s="2">
        <v>5087.32</v>
      </c>
      <c r="H522" s="2">
        <v>5245027</v>
      </c>
      <c r="I522" s="2">
        <v>774</v>
      </c>
    </row>
    <row r="523" spans="1:9" ht="15.75" customHeight="1">
      <c r="A523" s="2">
        <v>11</v>
      </c>
      <c r="B523" s="2" t="s">
        <v>39</v>
      </c>
      <c r="C523" s="2" t="s">
        <v>10</v>
      </c>
      <c r="D523" s="2" t="s">
        <v>25</v>
      </c>
      <c r="E523" s="2" t="s">
        <v>13</v>
      </c>
      <c r="F523" s="2">
        <v>110</v>
      </c>
      <c r="G523" s="2">
        <v>20907.96</v>
      </c>
      <c r="H523" s="2">
        <v>2299876</v>
      </c>
      <c r="I523" s="2">
        <v>83</v>
      </c>
    </row>
    <row r="524" spans="1:9" ht="15.75" customHeight="1">
      <c r="A524" s="2">
        <v>11</v>
      </c>
      <c r="B524" s="2" t="s">
        <v>39</v>
      </c>
      <c r="C524" s="2" t="s">
        <v>10</v>
      </c>
      <c r="D524" s="2" t="s">
        <v>25</v>
      </c>
      <c r="E524" s="2" t="s">
        <v>14</v>
      </c>
      <c r="F524" s="2">
        <v>277</v>
      </c>
      <c r="G524" s="2">
        <v>6535.87</v>
      </c>
      <c r="H524" s="2">
        <v>1810436</v>
      </c>
      <c r="I524" s="2">
        <v>203</v>
      </c>
    </row>
    <row r="525" spans="1:9" ht="15.75" customHeight="1">
      <c r="A525" s="2">
        <v>11</v>
      </c>
      <c r="B525" s="2" t="s">
        <v>39</v>
      </c>
      <c r="C525" s="2" t="s">
        <v>10</v>
      </c>
      <c r="D525" s="2" t="s">
        <v>25</v>
      </c>
      <c r="E525" s="2" t="s">
        <v>15</v>
      </c>
      <c r="F525" s="2">
        <v>719</v>
      </c>
      <c r="G525" s="2">
        <v>1216.3599999999999</v>
      </c>
      <c r="H525" s="2">
        <v>874561</v>
      </c>
      <c r="I525" s="2">
        <v>527</v>
      </c>
    </row>
    <row r="526" spans="1:9" ht="15.75" customHeight="1">
      <c r="A526" s="2">
        <v>11</v>
      </c>
      <c r="B526" s="2" t="s">
        <v>39</v>
      </c>
      <c r="C526" s="2" t="s">
        <v>10</v>
      </c>
      <c r="D526" s="2" t="s">
        <v>26</v>
      </c>
      <c r="E526" s="2" t="s">
        <v>12</v>
      </c>
      <c r="F526" s="2">
        <v>1196</v>
      </c>
      <c r="G526" s="2">
        <v>5176.4399999999996</v>
      </c>
      <c r="H526" s="2">
        <v>6191019</v>
      </c>
      <c r="I526" s="2">
        <v>970</v>
      </c>
    </row>
    <row r="527" spans="1:9" ht="15.75" customHeight="1">
      <c r="A527" s="2">
        <v>11</v>
      </c>
      <c r="B527" s="2" t="s">
        <v>39</v>
      </c>
      <c r="C527" s="2" t="s">
        <v>10</v>
      </c>
      <c r="D527" s="2" t="s">
        <v>26</v>
      </c>
      <c r="E527" s="2" t="s">
        <v>13</v>
      </c>
      <c r="F527" s="2">
        <v>123</v>
      </c>
      <c r="G527" s="2">
        <v>23017.200000000001</v>
      </c>
      <c r="H527" s="2">
        <v>2831115</v>
      </c>
      <c r="I527" s="2">
        <v>90</v>
      </c>
    </row>
    <row r="528" spans="1:9" ht="15.75" customHeight="1">
      <c r="A528" s="2">
        <v>11</v>
      </c>
      <c r="B528" s="2" t="s">
        <v>39</v>
      </c>
      <c r="C528" s="2" t="s">
        <v>10</v>
      </c>
      <c r="D528" s="2" t="s">
        <v>26</v>
      </c>
      <c r="E528" s="2" t="s">
        <v>14</v>
      </c>
      <c r="F528" s="2">
        <v>218</v>
      </c>
      <c r="G528" s="2">
        <v>6205.28</v>
      </c>
      <c r="H528" s="2">
        <v>1352750</v>
      </c>
      <c r="I528" s="2">
        <v>201</v>
      </c>
    </row>
    <row r="529" spans="1:9" ht="15.75" customHeight="1">
      <c r="A529" s="2">
        <v>11</v>
      </c>
      <c r="B529" s="2" t="s">
        <v>39</v>
      </c>
      <c r="C529" s="2" t="s">
        <v>10</v>
      </c>
      <c r="D529" s="2" t="s">
        <v>26</v>
      </c>
      <c r="E529" s="2" t="s">
        <v>15</v>
      </c>
      <c r="F529" s="2">
        <v>1020</v>
      </c>
      <c r="G529" s="2">
        <v>1304.57</v>
      </c>
      <c r="H529" s="2">
        <v>1330665</v>
      </c>
      <c r="I529" s="2">
        <v>734</v>
      </c>
    </row>
    <row r="530" spans="1:9" ht="15.75" customHeight="1">
      <c r="A530" s="2">
        <v>12</v>
      </c>
      <c r="B530" s="2" t="s">
        <v>40</v>
      </c>
      <c r="C530" s="2" t="s">
        <v>30</v>
      </c>
      <c r="D530" s="2" t="s">
        <v>11</v>
      </c>
      <c r="E530" s="2" t="s">
        <v>12</v>
      </c>
      <c r="F530" s="2">
        <v>952</v>
      </c>
      <c r="G530" s="2">
        <v>4973.7</v>
      </c>
      <c r="H530" s="2">
        <v>4734962</v>
      </c>
      <c r="I530" s="2">
        <v>753</v>
      </c>
    </row>
    <row r="531" spans="1:9" ht="15.75" customHeight="1">
      <c r="A531" s="2">
        <v>12</v>
      </c>
      <c r="B531" s="2" t="s">
        <v>40</v>
      </c>
      <c r="C531" s="2" t="s">
        <v>30</v>
      </c>
      <c r="D531" s="2" t="s">
        <v>11</v>
      </c>
      <c r="E531" s="2" t="s">
        <v>13</v>
      </c>
      <c r="F531" s="2">
        <v>169</v>
      </c>
      <c r="G531" s="2">
        <v>22764.76</v>
      </c>
      <c r="H531" s="2">
        <v>3847245</v>
      </c>
      <c r="I531" s="2">
        <v>133</v>
      </c>
    </row>
    <row r="532" spans="1:9" ht="15.75" customHeight="1">
      <c r="A532" s="2">
        <v>12</v>
      </c>
      <c r="B532" s="2" t="s">
        <v>40</v>
      </c>
      <c r="C532" s="2" t="s">
        <v>30</v>
      </c>
      <c r="D532" s="2" t="s">
        <v>11</v>
      </c>
      <c r="E532" s="2" t="s">
        <v>14</v>
      </c>
      <c r="F532" s="2">
        <v>395</v>
      </c>
      <c r="G532" s="2">
        <v>7071.56</v>
      </c>
      <c r="H532" s="2">
        <v>2793268</v>
      </c>
      <c r="I532" s="2">
        <v>342</v>
      </c>
    </row>
    <row r="533" spans="1:9" ht="15.75" customHeight="1">
      <c r="A533" s="2">
        <v>12</v>
      </c>
      <c r="B533" s="2" t="s">
        <v>40</v>
      </c>
      <c r="C533" s="2" t="s">
        <v>30</v>
      </c>
      <c r="D533" s="2" t="s">
        <v>11</v>
      </c>
      <c r="E533" s="2" t="s">
        <v>15</v>
      </c>
      <c r="F533" s="2">
        <v>827</v>
      </c>
      <c r="G533" s="2">
        <v>1178.51</v>
      </c>
      <c r="H533" s="2">
        <v>974625</v>
      </c>
      <c r="I533" s="2">
        <v>627</v>
      </c>
    </row>
    <row r="534" spans="1:9" ht="15.75" customHeight="1">
      <c r="A534" s="2">
        <v>12</v>
      </c>
      <c r="B534" s="2" t="s">
        <v>40</v>
      </c>
      <c r="C534" s="2" t="s">
        <v>30</v>
      </c>
      <c r="D534" s="2" t="s">
        <v>16</v>
      </c>
      <c r="E534" s="2" t="s">
        <v>12</v>
      </c>
      <c r="F534" s="2">
        <v>748</v>
      </c>
      <c r="G534" s="2">
        <v>5426.26</v>
      </c>
      <c r="H534" s="2">
        <v>4058841</v>
      </c>
      <c r="I534" s="2">
        <v>650</v>
      </c>
    </row>
    <row r="535" spans="1:9" ht="15.75" customHeight="1">
      <c r="A535" s="2">
        <v>12</v>
      </c>
      <c r="B535" s="2" t="s">
        <v>40</v>
      </c>
      <c r="C535" s="2" t="s">
        <v>30</v>
      </c>
      <c r="D535" s="2" t="s">
        <v>16</v>
      </c>
      <c r="E535" s="2" t="s">
        <v>13</v>
      </c>
      <c r="F535" s="2">
        <v>143</v>
      </c>
      <c r="G535" s="2">
        <v>20254.71</v>
      </c>
      <c r="H535" s="2">
        <v>2896423</v>
      </c>
      <c r="I535" s="2">
        <v>111</v>
      </c>
    </row>
    <row r="536" spans="1:9" ht="15.75" customHeight="1">
      <c r="A536" s="2">
        <v>12</v>
      </c>
      <c r="B536" s="2" t="s">
        <v>40</v>
      </c>
      <c r="C536" s="2" t="s">
        <v>30</v>
      </c>
      <c r="D536" s="2" t="s">
        <v>16</v>
      </c>
      <c r="E536" s="2" t="s">
        <v>14</v>
      </c>
      <c r="F536" s="2">
        <v>458</v>
      </c>
      <c r="G536" s="2">
        <v>6250.12</v>
      </c>
      <c r="H536" s="2">
        <v>2862557</v>
      </c>
      <c r="I536" s="2">
        <v>434</v>
      </c>
    </row>
    <row r="537" spans="1:9" ht="15.75" customHeight="1">
      <c r="A537" s="2">
        <v>12</v>
      </c>
      <c r="B537" s="2" t="s">
        <v>40</v>
      </c>
      <c r="C537" s="2" t="s">
        <v>30</v>
      </c>
      <c r="D537" s="2" t="s">
        <v>16</v>
      </c>
      <c r="E537" s="2" t="s">
        <v>15</v>
      </c>
      <c r="F537" s="2">
        <v>870</v>
      </c>
      <c r="G537" s="2">
        <v>1067.04</v>
      </c>
      <c r="H537" s="2">
        <v>928321</v>
      </c>
      <c r="I537" s="2">
        <v>710</v>
      </c>
    </row>
    <row r="538" spans="1:9" ht="15.75" customHeight="1">
      <c r="A538" s="2">
        <v>12</v>
      </c>
      <c r="B538" s="2" t="s">
        <v>40</v>
      </c>
      <c r="C538" s="2" t="s">
        <v>30</v>
      </c>
      <c r="D538" s="2" t="s">
        <v>17</v>
      </c>
      <c r="E538" s="2" t="s">
        <v>12</v>
      </c>
      <c r="F538" s="2">
        <v>863</v>
      </c>
      <c r="G538" s="2">
        <v>5135.01</v>
      </c>
      <c r="H538" s="2">
        <v>4431510</v>
      </c>
      <c r="I538" s="2">
        <v>811</v>
      </c>
    </row>
    <row r="539" spans="1:9" ht="15.75" customHeight="1">
      <c r="A539" s="2">
        <v>12</v>
      </c>
      <c r="B539" s="2" t="s">
        <v>40</v>
      </c>
      <c r="C539" s="2" t="s">
        <v>30</v>
      </c>
      <c r="D539" s="2" t="s">
        <v>17</v>
      </c>
      <c r="E539" s="2" t="s">
        <v>13</v>
      </c>
      <c r="F539" s="2">
        <v>130</v>
      </c>
      <c r="G539" s="2">
        <v>21629.15</v>
      </c>
      <c r="H539" s="2">
        <v>2811790</v>
      </c>
      <c r="I539" s="2">
        <v>115</v>
      </c>
    </row>
    <row r="540" spans="1:9" ht="15.75" customHeight="1">
      <c r="A540" s="2">
        <v>12</v>
      </c>
      <c r="B540" s="2" t="s">
        <v>40</v>
      </c>
      <c r="C540" s="2" t="s">
        <v>30</v>
      </c>
      <c r="D540" s="2" t="s">
        <v>17</v>
      </c>
      <c r="E540" s="2" t="s">
        <v>14</v>
      </c>
      <c r="F540" s="2">
        <v>407</v>
      </c>
      <c r="G540" s="2">
        <v>6233.2</v>
      </c>
      <c r="H540" s="2">
        <v>2536912</v>
      </c>
      <c r="I540" s="2">
        <v>368</v>
      </c>
    </row>
    <row r="541" spans="1:9" ht="15.75" customHeight="1">
      <c r="A541" s="2">
        <v>12</v>
      </c>
      <c r="B541" s="2" t="s">
        <v>40</v>
      </c>
      <c r="C541" s="2" t="s">
        <v>30</v>
      </c>
      <c r="D541" s="2" t="s">
        <v>17</v>
      </c>
      <c r="E541" s="2" t="s">
        <v>15</v>
      </c>
      <c r="F541" s="2">
        <v>411</v>
      </c>
      <c r="G541" s="2">
        <v>1017.81</v>
      </c>
      <c r="H541" s="2">
        <v>418320</v>
      </c>
      <c r="I541" s="2">
        <v>323</v>
      </c>
    </row>
    <row r="542" spans="1:9" ht="15.75" customHeight="1">
      <c r="A542" s="2">
        <v>12</v>
      </c>
      <c r="B542" s="2" t="s">
        <v>40</v>
      </c>
      <c r="C542" s="2" t="s">
        <v>30</v>
      </c>
      <c r="D542" s="2" t="s">
        <v>18</v>
      </c>
      <c r="E542" s="2" t="s">
        <v>12</v>
      </c>
      <c r="F542" s="2">
        <v>1114</v>
      </c>
      <c r="G542" s="2">
        <v>5081.54</v>
      </c>
      <c r="H542" s="2">
        <v>5660833</v>
      </c>
      <c r="I542" s="2">
        <v>1056</v>
      </c>
    </row>
    <row r="543" spans="1:9" ht="15.75" customHeight="1">
      <c r="A543" s="2">
        <v>12</v>
      </c>
      <c r="B543" s="2" t="s">
        <v>40</v>
      </c>
      <c r="C543" s="2" t="s">
        <v>30</v>
      </c>
      <c r="D543" s="2" t="s">
        <v>18</v>
      </c>
      <c r="E543" s="2" t="s">
        <v>13</v>
      </c>
      <c r="F543" s="2">
        <v>203</v>
      </c>
      <c r="G543" s="2">
        <v>21246.87</v>
      </c>
      <c r="H543" s="2">
        <v>4313115</v>
      </c>
      <c r="I543" s="2">
        <v>181</v>
      </c>
    </row>
    <row r="544" spans="1:9" ht="15.75" customHeight="1">
      <c r="A544" s="2">
        <v>12</v>
      </c>
      <c r="B544" s="2" t="s">
        <v>40</v>
      </c>
      <c r="C544" s="2" t="s">
        <v>30</v>
      </c>
      <c r="D544" s="2" t="s">
        <v>18</v>
      </c>
      <c r="E544" s="2" t="s">
        <v>14</v>
      </c>
      <c r="F544" s="2">
        <v>320</v>
      </c>
      <c r="G544" s="2">
        <v>6505.4</v>
      </c>
      <c r="H544" s="2">
        <v>2081728</v>
      </c>
      <c r="I544" s="2">
        <v>244</v>
      </c>
    </row>
    <row r="545" spans="1:9" ht="15.75" customHeight="1">
      <c r="A545" s="2">
        <v>12</v>
      </c>
      <c r="B545" s="2" t="s">
        <v>40</v>
      </c>
      <c r="C545" s="2" t="s">
        <v>30</v>
      </c>
      <c r="D545" s="2" t="s">
        <v>18</v>
      </c>
      <c r="E545" s="2" t="s">
        <v>15</v>
      </c>
      <c r="F545" s="2">
        <v>855</v>
      </c>
      <c r="G545" s="2">
        <v>1227.3399999999999</v>
      </c>
      <c r="H545" s="2">
        <v>1049374</v>
      </c>
      <c r="I545" s="2">
        <v>759</v>
      </c>
    </row>
    <row r="546" spans="1:9" ht="15.75" customHeight="1">
      <c r="A546" s="2">
        <v>12</v>
      </c>
      <c r="B546" s="2" t="s">
        <v>40</v>
      </c>
      <c r="C546" s="2" t="s">
        <v>30</v>
      </c>
      <c r="D546" s="2" t="s">
        <v>19</v>
      </c>
      <c r="E546" s="2" t="s">
        <v>12</v>
      </c>
      <c r="F546" s="2">
        <v>760</v>
      </c>
      <c r="G546" s="2">
        <v>5331.09</v>
      </c>
      <c r="H546" s="2">
        <v>4051625</v>
      </c>
      <c r="I546" s="2">
        <v>562</v>
      </c>
    </row>
    <row r="547" spans="1:9" ht="15.75" customHeight="1">
      <c r="A547" s="2">
        <v>12</v>
      </c>
      <c r="B547" s="2" t="s">
        <v>40</v>
      </c>
      <c r="C547" s="2" t="s">
        <v>30</v>
      </c>
      <c r="D547" s="2" t="s">
        <v>19</v>
      </c>
      <c r="E547" s="2" t="s">
        <v>13</v>
      </c>
      <c r="F547" s="2">
        <v>241</v>
      </c>
      <c r="G547" s="2">
        <v>23472.59</v>
      </c>
      <c r="H547" s="2">
        <v>5656894</v>
      </c>
      <c r="I547" s="2">
        <v>175</v>
      </c>
    </row>
    <row r="548" spans="1:9" ht="15.75" customHeight="1">
      <c r="A548" s="2">
        <v>12</v>
      </c>
      <c r="B548" s="2" t="s">
        <v>40</v>
      </c>
      <c r="C548" s="2" t="s">
        <v>30</v>
      </c>
      <c r="D548" s="2" t="s">
        <v>19</v>
      </c>
      <c r="E548" s="2" t="s">
        <v>14</v>
      </c>
      <c r="F548" s="2">
        <v>350</v>
      </c>
      <c r="G548" s="2">
        <v>6464.2</v>
      </c>
      <c r="H548" s="2">
        <v>2262471</v>
      </c>
      <c r="I548" s="2">
        <v>252</v>
      </c>
    </row>
    <row r="549" spans="1:9" ht="15.75" customHeight="1">
      <c r="A549" s="2">
        <v>12</v>
      </c>
      <c r="B549" s="2" t="s">
        <v>40</v>
      </c>
      <c r="C549" s="2" t="s">
        <v>30</v>
      </c>
      <c r="D549" s="2" t="s">
        <v>19</v>
      </c>
      <c r="E549" s="2" t="s">
        <v>15</v>
      </c>
      <c r="F549" s="2">
        <v>1160</v>
      </c>
      <c r="G549" s="2">
        <v>1066.8800000000001</v>
      </c>
      <c r="H549" s="2">
        <v>1237577</v>
      </c>
      <c r="I549" s="2">
        <v>972</v>
      </c>
    </row>
    <row r="550" spans="1:9" ht="15.75" customHeight="1">
      <c r="A550" s="2">
        <v>12</v>
      </c>
      <c r="B550" s="2" t="s">
        <v>40</v>
      </c>
      <c r="C550" s="2" t="s">
        <v>30</v>
      </c>
      <c r="D550" s="2" t="s">
        <v>20</v>
      </c>
      <c r="E550" s="2" t="s">
        <v>12</v>
      </c>
      <c r="F550" s="2">
        <v>779</v>
      </c>
      <c r="G550" s="2">
        <v>5338.67</v>
      </c>
      <c r="H550" s="2">
        <v>4158821</v>
      </c>
      <c r="I550" s="2">
        <v>715</v>
      </c>
    </row>
    <row r="551" spans="1:9" ht="15.75" customHeight="1">
      <c r="A551" s="2">
        <v>12</v>
      </c>
      <c r="B551" s="2" t="s">
        <v>40</v>
      </c>
      <c r="C551" s="2" t="s">
        <v>30</v>
      </c>
      <c r="D551" s="2" t="s">
        <v>20</v>
      </c>
      <c r="E551" s="2" t="s">
        <v>13</v>
      </c>
      <c r="F551" s="2">
        <v>105</v>
      </c>
      <c r="G551" s="2">
        <v>21422.98</v>
      </c>
      <c r="H551" s="2">
        <v>2249413</v>
      </c>
      <c r="I551" s="2">
        <v>97</v>
      </c>
    </row>
    <row r="552" spans="1:9" ht="15.75" customHeight="1">
      <c r="A552" s="2">
        <v>12</v>
      </c>
      <c r="B552" s="2" t="s">
        <v>40</v>
      </c>
      <c r="C552" s="2" t="s">
        <v>30</v>
      </c>
      <c r="D552" s="2" t="s">
        <v>20</v>
      </c>
      <c r="E552" s="2" t="s">
        <v>14</v>
      </c>
      <c r="F552" s="2">
        <v>342</v>
      </c>
      <c r="G552" s="2">
        <v>6724.55</v>
      </c>
      <c r="H552" s="2">
        <v>2299796</v>
      </c>
      <c r="I552" s="2">
        <v>271</v>
      </c>
    </row>
    <row r="553" spans="1:9" ht="15.75" customHeight="1">
      <c r="A553" s="2">
        <v>12</v>
      </c>
      <c r="B553" s="2" t="s">
        <v>40</v>
      </c>
      <c r="C553" s="2" t="s">
        <v>30</v>
      </c>
      <c r="D553" s="2" t="s">
        <v>20</v>
      </c>
      <c r="E553" s="2" t="s">
        <v>15</v>
      </c>
      <c r="F553" s="2">
        <v>615</v>
      </c>
      <c r="G553" s="2">
        <v>1190.1099999999999</v>
      </c>
      <c r="H553" s="2">
        <v>731918</v>
      </c>
      <c r="I553" s="2">
        <v>512</v>
      </c>
    </row>
    <row r="554" spans="1:9" ht="15.75" customHeight="1">
      <c r="A554" s="2">
        <v>12</v>
      </c>
      <c r="B554" s="2" t="s">
        <v>40</v>
      </c>
      <c r="C554" s="2" t="s">
        <v>30</v>
      </c>
      <c r="D554" s="2" t="s">
        <v>21</v>
      </c>
      <c r="E554" s="2" t="s">
        <v>12</v>
      </c>
      <c r="F554" s="2">
        <v>1061</v>
      </c>
      <c r="G554" s="2">
        <v>5413.69</v>
      </c>
      <c r="H554" s="2">
        <v>5743923</v>
      </c>
      <c r="I554" s="2">
        <v>823</v>
      </c>
    </row>
    <row r="555" spans="1:9" ht="15.75" customHeight="1">
      <c r="A555" s="2">
        <v>12</v>
      </c>
      <c r="B555" s="2" t="s">
        <v>40</v>
      </c>
      <c r="C555" s="2" t="s">
        <v>30</v>
      </c>
      <c r="D555" s="2" t="s">
        <v>21</v>
      </c>
      <c r="E555" s="2" t="s">
        <v>13</v>
      </c>
      <c r="F555" s="2">
        <v>172</v>
      </c>
      <c r="G555" s="2">
        <v>21979.68</v>
      </c>
      <c r="H555" s="2">
        <v>3780504</v>
      </c>
      <c r="I555" s="2">
        <v>134</v>
      </c>
    </row>
    <row r="556" spans="1:9" ht="15.75" customHeight="1">
      <c r="A556" s="2">
        <v>12</v>
      </c>
      <c r="B556" s="2" t="s">
        <v>40</v>
      </c>
      <c r="C556" s="2" t="s">
        <v>30</v>
      </c>
      <c r="D556" s="2" t="s">
        <v>21</v>
      </c>
      <c r="E556" s="2" t="s">
        <v>14</v>
      </c>
      <c r="F556" s="2">
        <v>362</v>
      </c>
      <c r="G556" s="2">
        <v>6860.95</v>
      </c>
      <c r="H556" s="2">
        <v>2483665</v>
      </c>
      <c r="I556" s="2">
        <v>284</v>
      </c>
    </row>
    <row r="557" spans="1:9" ht="15.75" customHeight="1">
      <c r="A557" s="2">
        <v>12</v>
      </c>
      <c r="B557" s="2" t="s">
        <v>40</v>
      </c>
      <c r="C557" s="2" t="s">
        <v>30</v>
      </c>
      <c r="D557" s="2" t="s">
        <v>21</v>
      </c>
      <c r="E557" s="2" t="s">
        <v>15</v>
      </c>
      <c r="F557" s="2">
        <v>1187</v>
      </c>
      <c r="G557" s="2">
        <v>1110.1500000000001</v>
      </c>
      <c r="H557" s="2">
        <v>1317752</v>
      </c>
      <c r="I557" s="2">
        <v>1000</v>
      </c>
    </row>
    <row r="558" spans="1:9" ht="15.75" customHeight="1">
      <c r="A558" s="2">
        <v>12</v>
      </c>
      <c r="B558" s="2" t="s">
        <v>40</v>
      </c>
      <c r="C558" s="2" t="s">
        <v>30</v>
      </c>
      <c r="D558" s="2" t="s">
        <v>22</v>
      </c>
      <c r="E558" s="2" t="s">
        <v>12</v>
      </c>
      <c r="F558" s="2">
        <v>865</v>
      </c>
      <c r="G558" s="2">
        <v>5254.97</v>
      </c>
      <c r="H558" s="2">
        <v>4545550</v>
      </c>
      <c r="I558" s="2">
        <v>791</v>
      </c>
    </row>
    <row r="559" spans="1:9" ht="15.75" customHeight="1">
      <c r="A559" s="2">
        <v>12</v>
      </c>
      <c r="B559" s="2" t="s">
        <v>40</v>
      </c>
      <c r="C559" s="2" t="s">
        <v>30</v>
      </c>
      <c r="D559" s="2" t="s">
        <v>22</v>
      </c>
      <c r="E559" s="2" t="s">
        <v>13</v>
      </c>
      <c r="F559" s="2">
        <v>194</v>
      </c>
      <c r="G559" s="2">
        <v>21658.06</v>
      </c>
      <c r="H559" s="2">
        <v>4201664</v>
      </c>
      <c r="I559" s="2">
        <v>159</v>
      </c>
    </row>
    <row r="560" spans="1:9" ht="15.75" customHeight="1">
      <c r="A560" s="2">
        <v>12</v>
      </c>
      <c r="B560" s="2" t="s">
        <v>40</v>
      </c>
      <c r="C560" s="2" t="s">
        <v>30</v>
      </c>
      <c r="D560" s="2" t="s">
        <v>22</v>
      </c>
      <c r="E560" s="2" t="s">
        <v>14</v>
      </c>
      <c r="F560" s="2">
        <v>309</v>
      </c>
      <c r="G560" s="2">
        <v>6786.08</v>
      </c>
      <c r="H560" s="2">
        <v>2096897</v>
      </c>
      <c r="I560" s="2">
        <v>280</v>
      </c>
    </row>
    <row r="561" spans="1:9" ht="15.75" customHeight="1">
      <c r="A561" s="2">
        <v>12</v>
      </c>
      <c r="B561" s="2" t="s">
        <v>40</v>
      </c>
      <c r="C561" s="2" t="s">
        <v>30</v>
      </c>
      <c r="D561" s="2" t="s">
        <v>22</v>
      </c>
      <c r="E561" s="2" t="s">
        <v>15</v>
      </c>
      <c r="F561" s="2">
        <v>1052</v>
      </c>
      <c r="G561" s="2">
        <v>1188.44</v>
      </c>
      <c r="H561" s="2">
        <v>1250237</v>
      </c>
      <c r="I561" s="2">
        <v>833</v>
      </c>
    </row>
    <row r="562" spans="1:9" ht="15.75" customHeight="1">
      <c r="A562" s="2">
        <v>12</v>
      </c>
      <c r="B562" s="2" t="s">
        <v>40</v>
      </c>
      <c r="C562" s="2" t="s">
        <v>30</v>
      </c>
      <c r="D562" s="2" t="s">
        <v>23</v>
      </c>
      <c r="E562" s="2" t="s">
        <v>12</v>
      </c>
      <c r="F562" s="2">
        <v>991</v>
      </c>
      <c r="G562" s="2">
        <v>5490.16</v>
      </c>
      <c r="H562" s="2">
        <v>5440748</v>
      </c>
      <c r="I562" s="2">
        <v>751</v>
      </c>
    </row>
    <row r="563" spans="1:9" ht="15.75" customHeight="1">
      <c r="A563" s="2">
        <v>12</v>
      </c>
      <c r="B563" s="2" t="s">
        <v>40</v>
      </c>
      <c r="C563" s="2" t="s">
        <v>30</v>
      </c>
      <c r="D563" s="2" t="s">
        <v>23</v>
      </c>
      <c r="E563" s="2" t="s">
        <v>13</v>
      </c>
      <c r="F563" s="2">
        <v>111</v>
      </c>
      <c r="G563" s="2">
        <v>18789.259999999998</v>
      </c>
      <c r="H563" s="2">
        <v>2085608</v>
      </c>
      <c r="I563" s="2">
        <v>104</v>
      </c>
    </row>
    <row r="564" spans="1:9" ht="15.75" customHeight="1">
      <c r="A564" s="2">
        <v>12</v>
      </c>
      <c r="B564" s="2" t="s">
        <v>40</v>
      </c>
      <c r="C564" s="2" t="s">
        <v>30</v>
      </c>
      <c r="D564" s="2" t="s">
        <v>23</v>
      </c>
      <c r="E564" s="2" t="s">
        <v>14</v>
      </c>
      <c r="F564" s="2">
        <v>295</v>
      </c>
      <c r="G564" s="2">
        <v>6897.26</v>
      </c>
      <c r="H564" s="2">
        <v>2034690</v>
      </c>
      <c r="I564" s="2">
        <v>271</v>
      </c>
    </row>
    <row r="565" spans="1:9" ht="15.75" customHeight="1">
      <c r="A565" s="2">
        <v>12</v>
      </c>
      <c r="B565" s="2" t="s">
        <v>40</v>
      </c>
      <c r="C565" s="2" t="s">
        <v>30</v>
      </c>
      <c r="D565" s="2" t="s">
        <v>23</v>
      </c>
      <c r="E565" s="2" t="s">
        <v>15</v>
      </c>
      <c r="F565" s="2">
        <v>846</v>
      </c>
      <c r="G565" s="2">
        <v>1214.21</v>
      </c>
      <c r="H565" s="2">
        <v>1027218</v>
      </c>
      <c r="I565" s="2">
        <v>727</v>
      </c>
    </row>
    <row r="566" spans="1:9" ht="15.75" customHeight="1">
      <c r="A566" s="2">
        <v>12</v>
      </c>
      <c r="B566" s="2" t="s">
        <v>40</v>
      </c>
      <c r="C566" s="2" t="s">
        <v>30</v>
      </c>
      <c r="D566" s="2" t="s">
        <v>24</v>
      </c>
      <c r="E566" s="2" t="s">
        <v>12</v>
      </c>
      <c r="F566" s="2">
        <v>642</v>
      </c>
      <c r="G566" s="2">
        <v>5606.15</v>
      </c>
      <c r="H566" s="2">
        <v>3599148</v>
      </c>
      <c r="I566" s="2">
        <v>473</v>
      </c>
    </row>
    <row r="567" spans="1:9" ht="15.75" customHeight="1">
      <c r="A567" s="2">
        <v>12</v>
      </c>
      <c r="B567" s="2" t="s">
        <v>40</v>
      </c>
      <c r="C567" s="2" t="s">
        <v>30</v>
      </c>
      <c r="D567" s="2" t="s">
        <v>24</v>
      </c>
      <c r="E567" s="2" t="s">
        <v>13</v>
      </c>
      <c r="F567" s="2">
        <v>104</v>
      </c>
      <c r="G567" s="2">
        <v>22475.01</v>
      </c>
      <c r="H567" s="2">
        <v>2337401</v>
      </c>
      <c r="I567" s="2">
        <v>93</v>
      </c>
    </row>
    <row r="568" spans="1:9" ht="15.75" customHeight="1">
      <c r="A568" s="2">
        <v>12</v>
      </c>
      <c r="B568" s="2" t="s">
        <v>40</v>
      </c>
      <c r="C568" s="2" t="s">
        <v>30</v>
      </c>
      <c r="D568" s="2" t="s">
        <v>24</v>
      </c>
      <c r="E568" s="2" t="s">
        <v>14</v>
      </c>
      <c r="F568" s="2">
        <v>465</v>
      </c>
      <c r="G568" s="2">
        <v>6676.28</v>
      </c>
      <c r="H568" s="2">
        <v>3104469</v>
      </c>
      <c r="I568" s="2">
        <v>413</v>
      </c>
    </row>
    <row r="569" spans="1:9" ht="15.75" customHeight="1">
      <c r="A569" s="2">
        <v>12</v>
      </c>
      <c r="B569" s="2" t="s">
        <v>40</v>
      </c>
      <c r="C569" s="2" t="s">
        <v>30</v>
      </c>
      <c r="D569" s="2" t="s">
        <v>24</v>
      </c>
      <c r="E569" s="2" t="s">
        <v>15</v>
      </c>
      <c r="F569" s="2">
        <v>455</v>
      </c>
      <c r="G569" s="2">
        <v>1051.97</v>
      </c>
      <c r="H569" s="2">
        <v>478647</v>
      </c>
      <c r="I569" s="2">
        <v>352</v>
      </c>
    </row>
    <row r="570" spans="1:9" ht="15.75" customHeight="1">
      <c r="A570" s="2">
        <v>12</v>
      </c>
      <c r="B570" s="2" t="s">
        <v>40</v>
      </c>
      <c r="C570" s="2" t="s">
        <v>30</v>
      </c>
      <c r="D570" s="2" t="s">
        <v>25</v>
      </c>
      <c r="E570" s="2" t="s">
        <v>12</v>
      </c>
      <c r="F570" s="2">
        <v>682</v>
      </c>
      <c r="G570" s="2">
        <v>5158.17</v>
      </c>
      <c r="H570" s="2">
        <v>3517875</v>
      </c>
      <c r="I570" s="2">
        <v>507</v>
      </c>
    </row>
    <row r="571" spans="1:9" ht="15.75" customHeight="1">
      <c r="A571" s="2">
        <v>12</v>
      </c>
      <c r="B571" s="2" t="s">
        <v>40</v>
      </c>
      <c r="C571" s="2" t="s">
        <v>30</v>
      </c>
      <c r="D571" s="2" t="s">
        <v>25</v>
      </c>
      <c r="E571" s="2" t="s">
        <v>13</v>
      </c>
      <c r="F571" s="2">
        <v>243</v>
      </c>
      <c r="G571" s="2">
        <v>22183.57</v>
      </c>
      <c r="H571" s="2">
        <v>5390607</v>
      </c>
      <c r="I571" s="2">
        <v>173</v>
      </c>
    </row>
    <row r="572" spans="1:9" ht="15.75" customHeight="1">
      <c r="A572" s="2">
        <v>12</v>
      </c>
      <c r="B572" s="2" t="s">
        <v>40</v>
      </c>
      <c r="C572" s="2" t="s">
        <v>30</v>
      </c>
      <c r="D572" s="2" t="s">
        <v>25</v>
      </c>
      <c r="E572" s="2" t="s">
        <v>14</v>
      </c>
      <c r="F572" s="2">
        <v>459</v>
      </c>
      <c r="G572" s="2">
        <v>6317.69</v>
      </c>
      <c r="H572" s="2">
        <v>2899819</v>
      </c>
      <c r="I572" s="2">
        <v>347</v>
      </c>
    </row>
    <row r="573" spans="1:9" ht="15.75" customHeight="1">
      <c r="A573" s="2">
        <v>12</v>
      </c>
      <c r="B573" s="2" t="s">
        <v>40</v>
      </c>
      <c r="C573" s="2" t="s">
        <v>30</v>
      </c>
      <c r="D573" s="2" t="s">
        <v>25</v>
      </c>
      <c r="E573" s="2" t="s">
        <v>15</v>
      </c>
      <c r="F573" s="2">
        <v>779</v>
      </c>
      <c r="G573" s="2">
        <v>1262.6099999999999</v>
      </c>
      <c r="H573" s="2">
        <v>983571</v>
      </c>
      <c r="I573" s="2">
        <v>604</v>
      </c>
    </row>
    <row r="574" spans="1:9" ht="15.75" customHeight="1">
      <c r="A574" s="2">
        <v>12</v>
      </c>
      <c r="B574" s="2" t="s">
        <v>40</v>
      </c>
      <c r="C574" s="2" t="s">
        <v>30</v>
      </c>
      <c r="D574" s="2" t="s">
        <v>26</v>
      </c>
      <c r="E574" s="2" t="s">
        <v>12</v>
      </c>
      <c r="F574" s="2">
        <v>1019</v>
      </c>
      <c r="G574" s="2">
        <v>4789.22</v>
      </c>
      <c r="H574" s="2">
        <v>4880211</v>
      </c>
      <c r="I574" s="2">
        <v>746</v>
      </c>
    </row>
    <row r="575" spans="1:9" ht="15.75" customHeight="1">
      <c r="A575" s="2">
        <v>12</v>
      </c>
      <c r="B575" s="2" t="s">
        <v>40</v>
      </c>
      <c r="C575" s="2" t="s">
        <v>30</v>
      </c>
      <c r="D575" s="2" t="s">
        <v>26</v>
      </c>
      <c r="E575" s="2" t="s">
        <v>13</v>
      </c>
      <c r="F575" s="2">
        <v>215</v>
      </c>
      <c r="G575" s="2">
        <v>22247.46</v>
      </c>
      <c r="H575" s="2">
        <v>4783203</v>
      </c>
      <c r="I575" s="2">
        <v>172</v>
      </c>
    </row>
    <row r="576" spans="1:9" ht="15.75" customHeight="1">
      <c r="A576" s="2">
        <v>12</v>
      </c>
      <c r="B576" s="2" t="s">
        <v>40</v>
      </c>
      <c r="C576" s="2" t="s">
        <v>30</v>
      </c>
      <c r="D576" s="2" t="s">
        <v>26</v>
      </c>
      <c r="E576" s="2" t="s">
        <v>14</v>
      </c>
      <c r="F576" s="2">
        <v>455</v>
      </c>
      <c r="G576" s="2">
        <v>6547.87</v>
      </c>
      <c r="H576" s="2">
        <v>2979280</v>
      </c>
      <c r="I576" s="2">
        <v>365</v>
      </c>
    </row>
    <row r="577" spans="1:9" ht="15.75" customHeight="1">
      <c r="A577" s="2">
        <v>12</v>
      </c>
      <c r="B577" s="2" t="s">
        <v>40</v>
      </c>
      <c r="C577" s="2" t="s">
        <v>30</v>
      </c>
      <c r="D577" s="2" t="s">
        <v>26</v>
      </c>
      <c r="E577" s="2" t="s">
        <v>15</v>
      </c>
      <c r="F577" s="2">
        <v>925</v>
      </c>
      <c r="G577" s="2">
        <v>1082.9000000000001</v>
      </c>
      <c r="H577" s="2">
        <v>1001679</v>
      </c>
      <c r="I577" s="2">
        <v>688</v>
      </c>
    </row>
    <row r="578" spans="1:9" ht="15.75" customHeight="1">
      <c r="A578" s="2">
        <v>13</v>
      </c>
      <c r="B578" s="2" t="s">
        <v>41</v>
      </c>
      <c r="C578" s="2" t="s">
        <v>28</v>
      </c>
      <c r="D578" s="2" t="s">
        <v>11</v>
      </c>
      <c r="E578" s="2" t="s">
        <v>12</v>
      </c>
      <c r="F578" s="2">
        <v>1197</v>
      </c>
      <c r="G578" s="2">
        <v>5253.47</v>
      </c>
      <c r="H578" s="2">
        <v>6288398</v>
      </c>
      <c r="I578" s="2">
        <v>1074</v>
      </c>
    </row>
    <row r="579" spans="1:9" ht="15.75" customHeight="1">
      <c r="A579" s="2">
        <v>13</v>
      </c>
      <c r="B579" s="2" t="s">
        <v>41</v>
      </c>
      <c r="C579" s="2" t="s">
        <v>28</v>
      </c>
      <c r="D579" s="2" t="s">
        <v>11</v>
      </c>
      <c r="E579" s="2" t="s">
        <v>13</v>
      </c>
      <c r="F579" s="2">
        <v>248</v>
      </c>
      <c r="G579" s="2">
        <v>20662.82</v>
      </c>
      <c r="H579" s="2">
        <v>5124379</v>
      </c>
      <c r="I579" s="2">
        <v>220</v>
      </c>
    </row>
    <row r="580" spans="1:9" ht="15.75" customHeight="1">
      <c r="A580" s="2">
        <v>13</v>
      </c>
      <c r="B580" s="2" t="s">
        <v>41</v>
      </c>
      <c r="C580" s="2" t="s">
        <v>28</v>
      </c>
      <c r="D580" s="2" t="s">
        <v>11</v>
      </c>
      <c r="E580" s="2" t="s">
        <v>14</v>
      </c>
      <c r="F580" s="2">
        <v>264</v>
      </c>
      <c r="G580" s="2">
        <v>6980.57</v>
      </c>
      <c r="H580" s="2">
        <v>1842871</v>
      </c>
      <c r="I580" s="2">
        <v>226</v>
      </c>
    </row>
    <row r="581" spans="1:9" ht="15.75" customHeight="1">
      <c r="A581" s="2">
        <v>13</v>
      </c>
      <c r="B581" s="2" t="s">
        <v>41</v>
      </c>
      <c r="C581" s="2" t="s">
        <v>28</v>
      </c>
      <c r="D581" s="2" t="s">
        <v>11</v>
      </c>
      <c r="E581" s="2" t="s">
        <v>15</v>
      </c>
      <c r="F581" s="2">
        <v>1092</v>
      </c>
      <c r="G581" s="2">
        <v>1150.6199999999999</v>
      </c>
      <c r="H581" s="2">
        <v>1256480</v>
      </c>
      <c r="I581" s="2">
        <v>983</v>
      </c>
    </row>
    <row r="582" spans="1:9" ht="15.75" customHeight="1">
      <c r="A582" s="2">
        <v>13</v>
      </c>
      <c r="B582" s="2" t="s">
        <v>41</v>
      </c>
      <c r="C582" s="2" t="s">
        <v>28</v>
      </c>
      <c r="D582" s="2" t="s">
        <v>16</v>
      </c>
      <c r="E582" s="2" t="s">
        <v>12</v>
      </c>
      <c r="F582" s="2">
        <v>772</v>
      </c>
      <c r="G582" s="2">
        <v>5275.53</v>
      </c>
      <c r="H582" s="2">
        <v>4072710</v>
      </c>
      <c r="I582" s="2">
        <v>591</v>
      </c>
    </row>
    <row r="583" spans="1:9" ht="15.75" customHeight="1">
      <c r="A583" s="2">
        <v>13</v>
      </c>
      <c r="B583" s="2" t="s">
        <v>41</v>
      </c>
      <c r="C583" s="2" t="s">
        <v>28</v>
      </c>
      <c r="D583" s="2" t="s">
        <v>16</v>
      </c>
      <c r="E583" s="2" t="s">
        <v>13</v>
      </c>
      <c r="F583" s="2">
        <v>238</v>
      </c>
      <c r="G583" s="2">
        <v>21151.87</v>
      </c>
      <c r="H583" s="2">
        <v>5034146</v>
      </c>
      <c r="I583" s="2">
        <v>193</v>
      </c>
    </row>
    <row r="584" spans="1:9" ht="15.75" customHeight="1">
      <c r="A584" s="2">
        <v>13</v>
      </c>
      <c r="B584" s="2" t="s">
        <v>41</v>
      </c>
      <c r="C584" s="2" t="s">
        <v>28</v>
      </c>
      <c r="D584" s="2" t="s">
        <v>16</v>
      </c>
      <c r="E584" s="2" t="s">
        <v>14</v>
      </c>
      <c r="F584" s="2">
        <v>455</v>
      </c>
      <c r="G584" s="2">
        <v>6691.81</v>
      </c>
      <c r="H584" s="2">
        <v>3044773</v>
      </c>
      <c r="I584" s="2">
        <v>335</v>
      </c>
    </row>
    <row r="585" spans="1:9" ht="15.75" customHeight="1">
      <c r="A585" s="2">
        <v>13</v>
      </c>
      <c r="B585" s="2" t="s">
        <v>41</v>
      </c>
      <c r="C585" s="2" t="s">
        <v>28</v>
      </c>
      <c r="D585" s="2" t="s">
        <v>16</v>
      </c>
      <c r="E585" s="2" t="s">
        <v>15</v>
      </c>
      <c r="F585" s="2">
        <v>963</v>
      </c>
      <c r="G585" s="2">
        <v>1106.67</v>
      </c>
      <c r="H585" s="2">
        <v>1065726</v>
      </c>
      <c r="I585" s="2">
        <v>732</v>
      </c>
    </row>
    <row r="586" spans="1:9" ht="15.75" customHeight="1">
      <c r="A586" s="2">
        <v>13</v>
      </c>
      <c r="B586" s="2" t="s">
        <v>41</v>
      </c>
      <c r="C586" s="2" t="s">
        <v>28</v>
      </c>
      <c r="D586" s="2" t="s">
        <v>17</v>
      </c>
      <c r="E586" s="2" t="s">
        <v>12</v>
      </c>
      <c r="F586" s="2">
        <v>1193</v>
      </c>
      <c r="G586" s="2">
        <v>4839.46</v>
      </c>
      <c r="H586" s="2">
        <v>5773476</v>
      </c>
      <c r="I586" s="2">
        <v>952</v>
      </c>
    </row>
    <row r="587" spans="1:9" ht="15.75" customHeight="1">
      <c r="A587" s="2">
        <v>13</v>
      </c>
      <c r="B587" s="2" t="s">
        <v>41</v>
      </c>
      <c r="C587" s="2" t="s">
        <v>28</v>
      </c>
      <c r="D587" s="2" t="s">
        <v>17</v>
      </c>
      <c r="E587" s="2" t="s">
        <v>13</v>
      </c>
      <c r="F587" s="2">
        <v>141</v>
      </c>
      <c r="G587" s="2">
        <v>21144.04</v>
      </c>
      <c r="H587" s="2">
        <v>2981310</v>
      </c>
      <c r="I587" s="2">
        <v>126</v>
      </c>
    </row>
    <row r="588" spans="1:9" ht="15.75" customHeight="1">
      <c r="A588" s="2">
        <v>13</v>
      </c>
      <c r="B588" s="2" t="s">
        <v>41</v>
      </c>
      <c r="C588" s="2" t="s">
        <v>28</v>
      </c>
      <c r="D588" s="2" t="s">
        <v>17</v>
      </c>
      <c r="E588" s="2" t="s">
        <v>14</v>
      </c>
      <c r="F588" s="2">
        <v>312</v>
      </c>
      <c r="G588" s="2">
        <v>7042.7</v>
      </c>
      <c r="H588" s="2">
        <v>2197322</v>
      </c>
      <c r="I588" s="2">
        <v>252</v>
      </c>
    </row>
    <row r="589" spans="1:9" ht="15.75" customHeight="1">
      <c r="A589" s="2">
        <v>13</v>
      </c>
      <c r="B589" s="2" t="s">
        <v>41</v>
      </c>
      <c r="C589" s="2" t="s">
        <v>28</v>
      </c>
      <c r="D589" s="2" t="s">
        <v>17</v>
      </c>
      <c r="E589" s="2" t="s">
        <v>15</v>
      </c>
      <c r="F589" s="2">
        <v>428</v>
      </c>
      <c r="G589" s="2">
        <v>1087.92</v>
      </c>
      <c r="H589" s="2">
        <v>465629</v>
      </c>
      <c r="I589" s="2">
        <v>329</v>
      </c>
    </row>
    <row r="590" spans="1:9" ht="15.75" customHeight="1">
      <c r="A590" s="2">
        <v>13</v>
      </c>
      <c r="B590" s="2" t="s">
        <v>41</v>
      </c>
      <c r="C590" s="2" t="s">
        <v>28</v>
      </c>
      <c r="D590" s="2" t="s">
        <v>18</v>
      </c>
      <c r="E590" s="2" t="s">
        <v>12</v>
      </c>
      <c r="F590" s="2">
        <v>841</v>
      </c>
      <c r="G590" s="2">
        <v>5731.46</v>
      </c>
      <c r="H590" s="2">
        <v>4820159</v>
      </c>
      <c r="I590" s="2">
        <v>727</v>
      </c>
    </row>
    <row r="591" spans="1:9" ht="15.75" customHeight="1">
      <c r="A591" s="2">
        <v>13</v>
      </c>
      <c r="B591" s="2" t="s">
        <v>41</v>
      </c>
      <c r="C591" s="2" t="s">
        <v>28</v>
      </c>
      <c r="D591" s="2" t="s">
        <v>18</v>
      </c>
      <c r="E591" s="2" t="s">
        <v>13</v>
      </c>
      <c r="F591" s="2">
        <v>178</v>
      </c>
      <c r="G591" s="2">
        <v>21015.43</v>
      </c>
      <c r="H591" s="2">
        <v>3740746</v>
      </c>
      <c r="I591" s="2">
        <v>164</v>
      </c>
    </row>
    <row r="592" spans="1:9" ht="15.75" customHeight="1">
      <c r="A592" s="2">
        <v>13</v>
      </c>
      <c r="B592" s="2" t="s">
        <v>41</v>
      </c>
      <c r="C592" s="2" t="s">
        <v>28</v>
      </c>
      <c r="D592" s="2" t="s">
        <v>18</v>
      </c>
      <c r="E592" s="2" t="s">
        <v>14</v>
      </c>
      <c r="F592" s="2">
        <v>372</v>
      </c>
      <c r="G592" s="2">
        <v>6837.99</v>
      </c>
      <c r="H592" s="2">
        <v>2543733</v>
      </c>
      <c r="I592" s="2">
        <v>308</v>
      </c>
    </row>
    <row r="593" spans="1:9" ht="15.75" customHeight="1">
      <c r="A593" s="2">
        <v>13</v>
      </c>
      <c r="B593" s="2" t="s">
        <v>41</v>
      </c>
      <c r="C593" s="2" t="s">
        <v>28</v>
      </c>
      <c r="D593" s="2" t="s">
        <v>18</v>
      </c>
      <c r="E593" s="2" t="s">
        <v>15</v>
      </c>
      <c r="F593" s="2">
        <v>500</v>
      </c>
      <c r="G593" s="2">
        <v>1132.23</v>
      </c>
      <c r="H593" s="2">
        <v>566114</v>
      </c>
      <c r="I593" s="2">
        <v>355</v>
      </c>
    </row>
    <row r="594" spans="1:9" ht="15.75" customHeight="1">
      <c r="A594" s="2">
        <v>13</v>
      </c>
      <c r="B594" s="2" t="s">
        <v>41</v>
      </c>
      <c r="C594" s="2" t="s">
        <v>28</v>
      </c>
      <c r="D594" s="2" t="s">
        <v>19</v>
      </c>
      <c r="E594" s="2" t="s">
        <v>12</v>
      </c>
      <c r="F594" s="2">
        <v>799</v>
      </c>
      <c r="G594" s="2">
        <v>5347.39</v>
      </c>
      <c r="H594" s="2">
        <v>4272566</v>
      </c>
      <c r="I594" s="2">
        <v>573</v>
      </c>
    </row>
    <row r="595" spans="1:9" ht="15.75" customHeight="1">
      <c r="A595" s="2">
        <v>13</v>
      </c>
      <c r="B595" s="2" t="s">
        <v>41</v>
      </c>
      <c r="C595" s="2" t="s">
        <v>28</v>
      </c>
      <c r="D595" s="2" t="s">
        <v>19</v>
      </c>
      <c r="E595" s="2" t="s">
        <v>13</v>
      </c>
      <c r="F595" s="2">
        <v>116</v>
      </c>
      <c r="G595" s="2">
        <v>21136.14</v>
      </c>
      <c r="H595" s="2">
        <v>2451793</v>
      </c>
      <c r="I595" s="2">
        <v>108</v>
      </c>
    </row>
    <row r="596" spans="1:9" ht="15.75" customHeight="1">
      <c r="A596" s="2">
        <v>13</v>
      </c>
      <c r="B596" s="2" t="s">
        <v>41</v>
      </c>
      <c r="C596" s="2" t="s">
        <v>28</v>
      </c>
      <c r="D596" s="2" t="s">
        <v>19</v>
      </c>
      <c r="E596" s="2" t="s">
        <v>14</v>
      </c>
      <c r="F596" s="2">
        <v>476</v>
      </c>
      <c r="G596" s="2">
        <v>6469.27</v>
      </c>
      <c r="H596" s="2">
        <v>3079370</v>
      </c>
      <c r="I596" s="2">
        <v>451</v>
      </c>
    </row>
    <row r="597" spans="1:9" ht="15.75" customHeight="1">
      <c r="A597" s="2">
        <v>13</v>
      </c>
      <c r="B597" s="2" t="s">
        <v>41</v>
      </c>
      <c r="C597" s="2" t="s">
        <v>28</v>
      </c>
      <c r="D597" s="2" t="s">
        <v>19</v>
      </c>
      <c r="E597" s="2" t="s">
        <v>15</v>
      </c>
      <c r="F597" s="2">
        <v>835</v>
      </c>
      <c r="G597" s="2">
        <v>972.81</v>
      </c>
      <c r="H597" s="2">
        <v>812298</v>
      </c>
      <c r="I597" s="2">
        <v>746</v>
      </c>
    </row>
    <row r="598" spans="1:9" ht="15.75" customHeight="1">
      <c r="A598" s="2">
        <v>13</v>
      </c>
      <c r="B598" s="2" t="s">
        <v>41</v>
      </c>
      <c r="C598" s="2" t="s">
        <v>28</v>
      </c>
      <c r="D598" s="2" t="s">
        <v>20</v>
      </c>
      <c r="E598" s="2" t="s">
        <v>12</v>
      </c>
      <c r="F598" s="2">
        <v>990</v>
      </c>
      <c r="G598" s="2">
        <v>5177.82</v>
      </c>
      <c r="H598" s="2">
        <v>5126044</v>
      </c>
      <c r="I598" s="2">
        <v>795</v>
      </c>
    </row>
    <row r="599" spans="1:9" ht="15.75" customHeight="1">
      <c r="A599" s="2">
        <v>13</v>
      </c>
      <c r="B599" s="2" t="s">
        <v>41</v>
      </c>
      <c r="C599" s="2" t="s">
        <v>28</v>
      </c>
      <c r="D599" s="2" t="s">
        <v>20</v>
      </c>
      <c r="E599" s="2" t="s">
        <v>13</v>
      </c>
      <c r="F599" s="2">
        <v>104</v>
      </c>
      <c r="G599" s="2">
        <v>22455.63</v>
      </c>
      <c r="H599" s="2">
        <v>2335385</v>
      </c>
      <c r="I599" s="2">
        <v>89</v>
      </c>
    </row>
    <row r="600" spans="1:9" ht="15.75" customHeight="1">
      <c r="A600" s="2">
        <v>13</v>
      </c>
      <c r="B600" s="2" t="s">
        <v>41</v>
      </c>
      <c r="C600" s="2" t="s">
        <v>28</v>
      </c>
      <c r="D600" s="2" t="s">
        <v>20</v>
      </c>
      <c r="E600" s="2" t="s">
        <v>14</v>
      </c>
      <c r="F600" s="2">
        <v>207</v>
      </c>
      <c r="G600" s="2">
        <v>6998.81</v>
      </c>
      <c r="H600" s="2">
        <v>1448755</v>
      </c>
      <c r="I600" s="2">
        <v>177</v>
      </c>
    </row>
    <row r="601" spans="1:9" ht="15.75" customHeight="1">
      <c r="A601" s="2">
        <v>13</v>
      </c>
      <c r="B601" s="2" t="s">
        <v>41</v>
      </c>
      <c r="C601" s="2" t="s">
        <v>28</v>
      </c>
      <c r="D601" s="2" t="s">
        <v>20</v>
      </c>
      <c r="E601" s="2" t="s">
        <v>15</v>
      </c>
      <c r="F601" s="2">
        <v>862</v>
      </c>
      <c r="G601" s="2">
        <v>1124.32</v>
      </c>
      <c r="H601" s="2">
        <v>969164</v>
      </c>
      <c r="I601" s="2">
        <v>647</v>
      </c>
    </row>
    <row r="602" spans="1:9" ht="15.75" customHeight="1">
      <c r="A602" s="2">
        <v>13</v>
      </c>
      <c r="B602" s="2" t="s">
        <v>41</v>
      </c>
      <c r="C602" s="2" t="s">
        <v>28</v>
      </c>
      <c r="D602" s="2" t="s">
        <v>21</v>
      </c>
      <c r="E602" s="2" t="s">
        <v>12</v>
      </c>
      <c r="F602" s="2">
        <v>1160</v>
      </c>
      <c r="G602" s="2">
        <v>5127.72</v>
      </c>
      <c r="H602" s="2">
        <v>5948159</v>
      </c>
      <c r="I602" s="2">
        <v>832</v>
      </c>
    </row>
    <row r="603" spans="1:9" ht="15.75" customHeight="1">
      <c r="A603" s="2">
        <v>13</v>
      </c>
      <c r="B603" s="2" t="s">
        <v>41</v>
      </c>
      <c r="C603" s="2" t="s">
        <v>28</v>
      </c>
      <c r="D603" s="2" t="s">
        <v>21</v>
      </c>
      <c r="E603" s="2" t="s">
        <v>13</v>
      </c>
      <c r="F603" s="2">
        <v>221</v>
      </c>
      <c r="G603" s="2">
        <v>20795.63</v>
      </c>
      <c r="H603" s="2">
        <v>4595834</v>
      </c>
      <c r="I603" s="2">
        <v>181</v>
      </c>
    </row>
    <row r="604" spans="1:9" ht="15.75" customHeight="1">
      <c r="A604" s="2">
        <v>13</v>
      </c>
      <c r="B604" s="2" t="s">
        <v>41</v>
      </c>
      <c r="C604" s="2" t="s">
        <v>28</v>
      </c>
      <c r="D604" s="2" t="s">
        <v>21</v>
      </c>
      <c r="E604" s="2" t="s">
        <v>14</v>
      </c>
      <c r="F604" s="2">
        <v>454</v>
      </c>
      <c r="G604" s="2">
        <v>7136.69</v>
      </c>
      <c r="H604" s="2">
        <v>3240055</v>
      </c>
      <c r="I604" s="2">
        <v>402</v>
      </c>
    </row>
    <row r="605" spans="1:9" ht="15.75" customHeight="1">
      <c r="A605" s="2">
        <v>13</v>
      </c>
      <c r="B605" s="2" t="s">
        <v>41</v>
      </c>
      <c r="C605" s="2" t="s">
        <v>28</v>
      </c>
      <c r="D605" s="2" t="s">
        <v>21</v>
      </c>
      <c r="E605" s="2" t="s">
        <v>15</v>
      </c>
      <c r="F605" s="2">
        <v>687</v>
      </c>
      <c r="G605" s="2">
        <v>1379.93</v>
      </c>
      <c r="H605" s="2">
        <v>948010</v>
      </c>
      <c r="I605" s="2">
        <v>586</v>
      </c>
    </row>
    <row r="606" spans="1:9" ht="15.75" customHeight="1">
      <c r="A606" s="2">
        <v>13</v>
      </c>
      <c r="B606" s="2" t="s">
        <v>41</v>
      </c>
      <c r="C606" s="2" t="s">
        <v>28</v>
      </c>
      <c r="D606" s="2" t="s">
        <v>22</v>
      </c>
      <c r="E606" s="2" t="s">
        <v>12</v>
      </c>
      <c r="F606" s="2">
        <v>825</v>
      </c>
      <c r="G606" s="2">
        <v>5227.01</v>
      </c>
      <c r="H606" s="2">
        <v>4312283</v>
      </c>
      <c r="I606" s="2">
        <v>768</v>
      </c>
    </row>
    <row r="607" spans="1:9" ht="15.75" customHeight="1">
      <c r="A607" s="2">
        <v>13</v>
      </c>
      <c r="B607" s="2" t="s">
        <v>41</v>
      </c>
      <c r="C607" s="2" t="s">
        <v>28</v>
      </c>
      <c r="D607" s="2" t="s">
        <v>22</v>
      </c>
      <c r="E607" s="2" t="s">
        <v>13</v>
      </c>
      <c r="F607" s="2">
        <v>158</v>
      </c>
      <c r="G607" s="2">
        <v>20828.63</v>
      </c>
      <c r="H607" s="2">
        <v>3290924</v>
      </c>
      <c r="I607" s="2">
        <v>132</v>
      </c>
    </row>
    <row r="608" spans="1:9" ht="15.75" customHeight="1">
      <c r="A608" s="2">
        <v>13</v>
      </c>
      <c r="B608" s="2" t="s">
        <v>41</v>
      </c>
      <c r="C608" s="2" t="s">
        <v>28</v>
      </c>
      <c r="D608" s="2" t="s">
        <v>22</v>
      </c>
      <c r="E608" s="2" t="s">
        <v>14</v>
      </c>
      <c r="F608" s="2">
        <v>313</v>
      </c>
      <c r="G608" s="2">
        <v>6633.62</v>
      </c>
      <c r="H608" s="2">
        <v>2076324</v>
      </c>
      <c r="I608" s="2">
        <v>288</v>
      </c>
    </row>
    <row r="609" spans="1:9" ht="15.75" customHeight="1">
      <c r="A609" s="2">
        <v>13</v>
      </c>
      <c r="B609" s="2" t="s">
        <v>41</v>
      </c>
      <c r="C609" s="2" t="s">
        <v>28</v>
      </c>
      <c r="D609" s="2" t="s">
        <v>22</v>
      </c>
      <c r="E609" s="2" t="s">
        <v>15</v>
      </c>
      <c r="F609" s="2">
        <v>521</v>
      </c>
      <c r="G609" s="2">
        <v>1172.32</v>
      </c>
      <c r="H609" s="2">
        <v>610778</v>
      </c>
      <c r="I609" s="2">
        <v>470</v>
      </c>
    </row>
    <row r="610" spans="1:9" ht="15.75" customHeight="1">
      <c r="A610" s="2">
        <v>13</v>
      </c>
      <c r="B610" s="2" t="s">
        <v>41</v>
      </c>
      <c r="C610" s="2" t="s">
        <v>28</v>
      </c>
      <c r="D610" s="2" t="s">
        <v>23</v>
      </c>
      <c r="E610" s="2" t="s">
        <v>12</v>
      </c>
      <c r="F610" s="2">
        <v>638</v>
      </c>
      <c r="G610" s="2">
        <v>5467.51</v>
      </c>
      <c r="H610" s="2">
        <v>3488273</v>
      </c>
      <c r="I610" s="2">
        <v>520</v>
      </c>
    </row>
    <row r="611" spans="1:9" ht="15.75" customHeight="1">
      <c r="A611" s="2">
        <v>13</v>
      </c>
      <c r="B611" s="2" t="s">
        <v>41</v>
      </c>
      <c r="C611" s="2" t="s">
        <v>28</v>
      </c>
      <c r="D611" s="2" t="s">
        <v>23</v>
      </c>
      <c r="E611" s="2" t="s">
        <v>13</v>
      </c>
      <c r="F611" s="2">
        <v>235</v>
      </c>
      <c r="G611" s="2">
        <v>20849.080000000002</v>
      </c>
      <c r="H611" s="2">
        <v>4899535</v>
      </c>
      <c r="I611" s="2">
        <v>208</v>
      </c>
    </row>
    <row r="612" spans="1:9" ht="15.75" customHeight="1">
      <c r="A612" s="2">
        <v>13</v>
      </c>
      <c r="B612" s="2" t="s">
        <v>41</v>
      </c>
      <c r="C612" s="2" t="s">
        <v>28</v>
      </c>
      <c r="D612" s="2" t="s">
        <v>23</v>
      </c>
      <c r="E612" s="2" t="s">
        <v>14</v>
      </c>
      <c r="F612" s="2">
        <v>437</v>
      </c>
      <c r="G612" s="2">
        <v>6898.86</v>
      </c>
      <c r="H612" s="2">
        <v>3014804</v>
      </c>
      <c r="I612" s="2">
        <v>325</v>
      </c>
    </row>
    <row r="613" spans="1:9" ht="15.75" customHeight="1">
      <c r="A613" s="2">
        <v>13</v>
      </c>
      <c r="B613" s="2" t="s">
        <v>41</v>
      </c>
      <c r="C613" s="2" t="s">
        <v>28</v>
      </c>
      <c r="D613" s="2" t="s">
        <v>23</v>
      </c>
      <c r="E613" s="2" t="s">
        <v>15</v>
      </c>
      <c r="F613" s="2">
        <v>997</v>
      </c>
      <c r="G613" s="2">
        <v>1317.35</v>
      </c>
      <c r="H613" s="2">
        <v>1313395</v>
      </c>
      <c r="I613" s="2">
        <v>885</v>
      </c>
    </row>
    <row r="614" spans="1:9" ht="15.75" customHeight="1">
      <c r="A614" s="2">
        <v>13</v>
      </c>
      <c r="B614" s="2" t="s">
        <v>41</v>
      </c>
      <c r="C614" s="2" t="s">
        <v>28</v>
      </c>
      <c r="D614" s="2" t="s">
        <v>24</v>
      </c>
      <c r="E614" s="2" t="s">
        <v>12</v>
      </c>
      <c r="F614" s="2">
        <v>944</v>
      </c>
      <c r="G614" s="2">
        <v>5281.13</v>
      </c>
      <c r="H614" s="2">
        <v>4985383</v>
      </c>
      <c r="I614" s="2">
        <v>832</v>
      </c>
    </row>
    <row r="615" spans="1:9" ht="15.75" customHeight="1">
      <c r="A615" s="2">
        <v>13</v>
      </c>
      <c r="B615" s="2" t="s">
        <v>41</v>
      </c>
      <c r="C615" s="2" t="s">
        <v>28</v>
      </c>
      <c r="D615" s="2" t="s">
        <v>24</v>
      </c>
      <c r="E615" s="2" t="s">
        <v>13</v>
      </c>
      <c r="F615" s="2">
        <v>126</v>
      </c>
      <c r="G615" s="2">
        <v>21431.29</v>
      </c>
      <c r="H615" s="2">
        <v>2700342</v>
      </c>
      <c r="I615" s="2">
        <v>118</v>
      </c>
    </row>
    <row r="616" spans="1:9" ht="15.75" customHeight="1">
      <c r="A616" s="2">
        <v>13</v>
      </c>
      <c r="B616" s="2" t="s">
        <v>41</v>
      </c>
      <c r="C616" s="2" t="s">
        <v>28</v>
      </c>
      <c r="D616" s="2" t="s">
        <v>24</v>
      </c>
      <c r="E616" s="2" t="s">
        <v>14</v>
      </c>
      <c r="F616" s="2">
        <v>287</v>
      </c>
      <c r="G616" s="2">
        <v>6407.88</v>
      </c>
      <c r="H616" s="2">
        <v>1839060</v>
      </c>
      <c r="I616" s="2">
        <v>255</v>
      </c>
    </row>
    <row r="617" spans="1:9" ht="15.75" customHeight="1">
      <c r="A617" s="2">
        <v>13</v>
      </c>
      <c r="B617" s="2" t="s">
        <v>41</v>
      </c>
      <c r="C617" s="2" t="s">
        <v>28</v>
      </c>
      <c r="D617" s="2" t="s">
        <v>24</v>
      </c>
      <c r="E617" s="2" t="s">
        <v>15</v>
      </c>
      <c r="F617" s="2">
        <v>752</v>
      </c>
      <c r="G617" s="2">
        <v>1022.74</v>
      </c>
      <c r="H617" s="2">
        <v>769100</v>
      </c>
      <c r="I617" s="2">
        <v>621</v>
      </c>
    </row>
    <row r="618" spans="1:9" ht="15.75" customHeight="1">
      <c r="A618" s="2">
        <v>13</v>
      </c>
      <c r="B618" s="2" t="s">
        <v>41</v>
      </c>
      <c r="C618" s="2" t="s">
        <v>28</v>
      </c>
      <c r="D618" s="2" t="s">
        <v>25</v>
      </c>
      <c r="E618" s="2" t="s">
        <v>12</v>
      </c>
      <c r="F618" s="2">
        <v>618</v>
      </c>
      <c r="G618" s="2">
        <v>5500.39</v>
      </c>
      <c r="H618" s="2">
        <v>3399241</v>
      </c>
      <c r="I618" s="2">
        <v>499</v>
      </c>
    </row>
    <row r="619" spans="1:9" ht="15.75" customHeight="1">
      <c r="A619" s="2">
        <v>13</v>
      </c>
      <c r="B619" s="2" t="s">
        <v>41</v>
      </c>
      <c r="C619" s="2" t="s">
        <v>28</v>
      </c>
      <c r="D619" s="2" t="s">
        <v>25</v>
      </c>
      <c r="E619" s="2" t="s">
        <v>13</v>
      </c>
      <c r="F619" s="2">
        <v>235</v>
      </c>
      <c r="G619" s="2">
        <v>21664.02</v>
      </c>
      <c r="H619" s="2">
        <v>5091045</v>
      </c>
      <c r="I619" s="2">
        <v>191</v>
      </c>
    </row>
    <row r="620" spans="1:9" ht="15.75" customHeight="1">
      <c r="A620" s="2">
        <v>13</v>
      </c>
      <c r="B620" s="2" t="s">
        <v>41</v>
      </c>
      <c r="C620" s="2" t="s">
        <v>28</v>
      </c>
      <c r="D620" s="2" t="s">
        <v>25</v>
      </c>
      <c r="E620" s="2" t="s">
        <v>14</v>
      </c>
      <c r="F620" s="2">
        <v>343</v>
      </c>
      <c r="G620" s="2">
        <v>6878.99</v>
      </c>
      <c r="H620" s="2">
        <v>2359495</v>
      </c>
      <c r="I620" s="2">
        <v>315</v>
      </c>
    </row>
    <row r="621" spans="1:9" ht="15.75" customHeight="1">
      <c r="A621" s="2">
        <v>13</v>
      </c>
      <c r="B621" s="2" t="s">
        <v>41</v>
      </c>
      <c r="C621" s="2" t="s">
        <v>28</v>
      </c>
      <c r="D621" s="2" t="s">
        <v>25</v>
      </c>
      <c r="E621" s="2" t="s">
        <v>15</v>
      </c>
      <c r="F621" s="2">
        <v>503</v>
      </c>
      <c r="G621" s="2">
        <v>1276.95</v>
      </c>
      <c r="H621" s="2">
        <v>642307</v>
      </c>
      <c r="I621" s="2">
        <v>376</v>
      </c>
    </row>
    <row r="622" spans="1:9" ht="15.75" customHeight="1">
      <c r="A622" s="2">
        <v>13</v>
      </c>
      <c r="B622" s="2" t="s">
        <v>41</v>
      </c>
      <c r="C622" s="2" t="s">
        <v>28</v>
      </c>
      <c r="D622" s="2" t="s">
        <v>26</v>
      </c>
      <c r="E622" s="2" t="s">
        <v>12</v>
      </c>
      <c r="F622" s="2">
        <v>1090</v>
      </c>
      <c r="G622" s="2">
        <v>5519.98</v>
      </c>
      <c r="H622" s="2">
        <v>6016779</v>
      </c>
      <c r="I622" s="2">
        <v>985</v>
      </c>
    </row>
    <row r="623" spans="1:9" ht="15.75" customHeight="1">
      <c r="A623" s="2">
        <v>13</v>
      </c>
      <c r="B623" s="2" t="s">
        <v>41</v>
      </c>
      <c r="C623" s="2" t="s">
        <v>28</v>
      </c>
      <c r="D623" s="2" t="s">
        <v>26</v>
      </c>
      <c r="E623" s="2" t="s">
        <v>13</v>
      </c>
      <c r="F623" s="2">
        <v>165</v>
      </c>
      <c r="G623" s="2">
        <v>20813.52</v>
      </c>
      <c r="H623" s="2">
        <v>3434230</v>
      </c>
      <c r="I623" s="2">
        <v>130</v>
      </c>
    </row>
    <row r="624" spans="1:9" ht="15.75" customHeight="1">
      <c r="A624" s="2">
        <v>13</v>
      </c>
      <c r="B624" s="2" t="s">
        <v>41</v>
      </c>
      <c r="C624" s="2" t="s">
        <v>28</v>
      </c>
      <c r="D624" s="2" t="s">
        <v>26</v>
      </c>
      <c r="E624" s="2" t="s">
        <v>14</v>
      </c>
      <c r="F624" s="2">
        <v>212</v>
      </c>
      <c r="G624" s="2">
        <v>7191.68</v>
      </c>
      <c r="H624" s="2">
        <v>1524637</v>
      </c>
      <c r="I624" s="2">
        <v>193</v>
      </c>
    </row>
    <row r="625" spans="1:9" ht="15.75" customHeight="1">
      <c r="A625" s="2">
        <v>13</v>
      </c>
      <c r="B625" s="2" t="s">
        <v>41</v>
      </c>
      <c r="C625" s="2" t="s">
        <v>28</v>
      </c>
      <c r="D625" s="2" t="s">
        <v>26</v>
      </c>
      <c r="E625" s="2" t="s">
        <v>15</v>
      </c>
      <c r="F625" s="2">
        <v>713</v>
      </c>
      <c r="G625" s="2">
        <v>1462.51</v>
      </c>
      <c r="H625" s="2">
        <v>1042769</v>
      </c>
      <c r="I625" s="2">
        <v>505</v>
      </c>
    </row>
    <row r="626" spans="1:9" ht="15.75" customHeight="1">
      <c r="A626" s="2">
        <v>14</v>
      </c>
      <c r="B626" s="2" t="s">
        <v>42</v>
      </c>
      <c r="C626" s="2" t="s">
        <v>34</v>
      </c>
      <c r="D626" s="2" t="s">
        <v>11</v>
      </c>
      <c r="E626" s="2" t="s">
        <v>12</v>
      </c>
      <c r="F626" s="2">
        <v>808</v>
      </c>
      <c r="G626" s="2">
        <v>5454.77</v>
      </c>
      <c r="H626" s="2">
        <v>4407451</v>
      </c>
      <c r="I626" s="2">
        <v>718</v>
      </c>
    </row>
    <row r="627" spans="1:9" ht="15.75" customHeight="1">
      <c r="A627" s="2">
        <v>14</v>
      </c>
      <c r="B627" s="2" t="s">
        <v>42</v>
      </c>
      <c r="C627" s="2" t="s">
        <v>34</v>
      </c>
      <c r="D627" s="2" t="s">
        <v>11</v>
      </c>
      <c r="E627" s="2" t="s">
        <v>13</v>
      </c>
      <c r="F627" s="2">
        <v>169</v>
      </c>
      <c r="G627" s="2">
        <v>22397.74</v>
      </c>
      <c r="H627" s="2">
        <v>3785218</v>
      </c>
      <c r="I627" s="2">
        <v>155</v>
      </c>
    </row>
    <row r="628" spans="1:9" ht="15.75" customHeight="1">
      <c r="A628" s="2">
        <v>14</v>
      </c>
      <c r="B628" s="2" t="s">
        <v>42</v>
      </c>
      <c r="C628" s="2" t="s">
        <v>34</v>
      </c>
      <c r="D628" s="2" t="s">
        <v>11</v>
      </c>
      <c r="E628" s="2" t="s">
        <v>14</v>
      </c>
      <c r="F628" s="2">
        <v>300</v>
      </c>
      <c r="G628" s="2">
        <v>6613.72</v>
      </c>
      <c r="H628" s="2">
        <v>1984117</v>
      </c>
      <c r="I628" s="2">
        <v>258</v>
      </c>
    </row>
    <row r="629" spans="1:9" ht="15.75" customHeight="1">
      <c r="A629" s="2">
        <v>14</v>
      </c>
      <c r="B629" s="2" t="s">
        <v>42</v>
      </c>
      <c r="C629" s="2" t="s">
        <v>34</v>
      </c>
      <c r="D629" s="2" t="s">
        <v>11</v>
      </c>
      <c r="E629" s="2" t="s">
        <v>15</v>
      </c>
      <c r="F629" s="2">
        <v>935</v>
      </c>
      <c r="G629" s="2">
        <v>1105.8399999999999</v>
      </c>
      <c r="H629" s="2">
        <v>1033961</v>
      </c>
      <c r="I629" s="2">
        <v>705</v>
      </c>
    </row>
    <row r="630" spans="1:9" ht="15.75" customHeight="1">
      <c r="A630" s="2">
        <v>14</v>
      </c>
      <c r="B630" s="2" t="s">
        <v>42</v>
      </c>
      <c r="C630" s="2" t="s">
        <v>34</v>
      </c>
      <c r="D630" s="2" t="s">
        <v>16</v>
      </c>
      <c r="E630" s="2" t="s">
        <v>12</v>
      </c>
      <c r="F630" s="2">
        <v>753</v>
      </c>
      <c r="G630" s="2">
        <v>5016.33</v>
      </c>
      <c r="H630" s="2">
        <v>3777294</v>
      </c>
      <c r="I630" s="2">
        <v>658</v>
      </c>
    </row>
    <row r="631" spans="1:9" ht="15.75" customHeight="1">
      <c r="A631" s="2">
        <v>14</v>
      </c>
      <c r="B631" s="2" t="s">
        <v>42</v>
      </c>
      <c r="C631" s="2" t="s">
        <v>34</v>
      </c>
      <c r="D631" s="2" t="s">
        <v>16</v>
      </c>
      <c r="E631" s="2" t="s">
        <v>13</v>
      </c>
      <c r="F631" s="2">
        <v>248</v>
      </c>
      <c r="G631" s="2">
        <v>20091.349999999999</v>
      </c>
      <c r="H631" s="2">
        <v>4982656</v>
      </c>
      <c r="I631" s="2">
        <v>175</v>
      </c>
    </row>
    <row r="632" spans="1:9" ht="15.75" customHeight="1">
      <c r="A632" s="2">
        <v>14</v>
      </c>
      <c r="B632" s="2" t="s">
        <v>42</v>
      </c>
      <c r="C632" s="2" t="s">
        <v>34</v>
      </c>
      <c r="D632" s="2" t="s">
        <v>16</v>
      </c>
      <c r="E632" s="2" t="s">
        <v>14</v>
      </c>
      <c r="F632" s="2">
        <v>459</v>
      </c>
      <c r="G632" s="2">
        <v>6575.14</v>
      </c>
      <c r="H632" s="2">
        <v>3017990</v>
      </c>
      <c r="I632" s="2">
        <v>367</v>
      </c>
    </row>
    <row r="633" spans="1:9" ht="15.75" customHeight="1">
      <c r="A633" s="2">
        <v>14</v>
      </c>
      <c r="B633" s="2" t="s">
        <v>42</v>
      </c>
      <c r="C633" s="2" t="s">
        <v>34</v>
      </c>
      <c r="D633" s="2" t="s">
        <v>16</v>
      </c>
      <c r="E633" s="2" t="s">
        <v>15</v>
      </c>
      <c r="F633" s="2">
        <v>982</v>
      </c>
      <c r="G633" s="2">
        <v>1081.92</v>
      </c>
      <c r="H633" s="2">
        <v>1062447</v>
      </c>
      <c r="I633" s="2">
        <v>805</v>
      </c>
    </row>
    <row r="634" spans="1:9" ht="15.75" customHeight="1">
      <c r="A634" s="2">
        <v>14</v>
      </c>
      <c r="B634" s="2" t="s">
        <v>42</v>
      </c>
      <c r="C634" s="2" t="s">
        <v>34</v>
      </c>
      <c r="D634" s="2" t="s">
        <v>17</v>
      </c>
      <c r="E634" s="2" t="s">
        <v>12</v>
      </c>
      <c r="F634" s="2">
        <v>1125</v>
      </c>
      <c r="G634" s="2">
        <v>5192.46</v>
      </c>
      <c r="H634" s="2">
        <v>5841520</v>
      </c>
      <c r="I634" s="2">
        <v>850</v>
      </c>
    </row>
    <row r="635" spans="1:9" ht="15.75" customHeight="1">
      <c r="A635" s="2">
        <v>14</v>
      </c>
      <c r="B635" s="2" t="s">
        <v>42</v>
      </c>
      <c r="C635" s="2" t="s">
        <v>34</v>
      </c>
      <c r="D635" s="2" t="s">
        <v>17</v>
      </c>
      <c r="E635" s="2" t="s">
        <v>13</v>
      </c>
      <c r="F635" s="2">
        <v>231</v>
      </c>
      <c r="G635" s="2">
        <v>21742.76</v>
      </c>
      <c r="H635" s="2">
        <v>5022577</v>
      </c>
      <c r="I635" s="2">
        <v>164</v>
      </c>
    </row>
    <row r="636" spans="1:9" ht="15.75" customHeight="1">
      <c r="A636" s="2">
        <v>14</v>
      </c>
      <c r="B636" s="2" t="s">
        <v>42</v>
      </c>
      <c r="C636" s="2" t="s">
        <v>34</v>
      </c>
      <c r="D636" s="2" t="s">
        <v>17</v>
      </c>
      <c r="E636" s="2" t="s">
        <v>14</v>
      </c>
      <c r="F636" s="2">
        <v>223</v>
      </c>
      <c r="G636" s="2">
        <v>7007.22</v>
      </c>
      <c r="H636" s="2">
        <v>1562610</v>
      </c>
      <c r="I636" s="2">
        <v>171</v>
      </c>
    </row>
    <row r="637" spans="1:9" ht="15.75" customHeight="1">
      <c r="A637" s="2">
        <v>14</v>
      </c>
      <c r="B637" s="2" t="s">
        <v>42</v>
      </c>
      <c r="C637" s="2" t="s">
        <v>34</v>
      </c>
      <c r="D637" s="2" t="s">
        <v>17</v>
      </c>
      <c r="E637" s="2" t="s">
        <v>15</v>
      </c>
      <c r="F637" s="2">
        <v>459</v>
      </c>
      <c r="G637" s="2">
        <v>1259.25</v>
      </c>
      <c r="H637" s="2">
        <v>577997</v>
      </c>
      <c r="I637" s="2">
        <v>358</v>
      </c>
    </row>
    <row r="638" spans="1:9" ht="15.75" customHeight="1">
      <c r="A638" s="2">
        <v>14</v>
      </c>
      <c r="B638" s="2" t="s">
        <v>42</v>
      </c>
      <c r="C638" s="2" t="s">
        <v>34</v>
      </c>
      <c r="D638" s="2" t="s">
        <v>18</v>
      </c>
      <c r="E638" s="2" t="s">
        <v>12</v>
      </c>
      <c r="F638" s="2">
        <v>918</v>
      </c>
      <c r="G638" s="2">
        <v>5523.18</v>
      </c>
      <c r="H638" s="2">
        <v>5070280</v>
      </c>
      <c r="I638" s="2">
        <v>805</v>
      </c>
    </row>
    <row r="639" spans="1:9" ht="15.75" customHeight="1">
      <c r="A639" s="2">
        <v>14</v>
      </c>
      <c r="B639" s="2" t="s">
        <v>42</v>
      </c>
      <c r="C639" s="2" t="s">
        <v>34</v>
      </c>
      <c r="D639" s="2" t="s">
        <v>18</v>
      </c>
      <c r="E639" s="2" t="s">
        <v>13</v>
      </c>
      <c r="F639" s="2">
        <v>199</v>
      </c>
      <c r="G639" s="2">
        <v>20980.59</v>
      </c>
      <c r="H639" s="2">
        <v>4175137</v>
      </c>
      <c r="I639" s="2">
        <v>165</v>
      </c>
    </row>
    <row r="640" spans="1:9" ht="15.75" customHeight="1">
      <c r="A640" s="2">
        <v>14</v>
      </c>
      <c r="B640" s="2" t="s">
        <v>42</v>
      </c>
      <c r="C640" s="2" t="s">
        <v>34</v>
      </c>
      <c r="D640" s="2" t="s">
        <v>18</v>
      </c>
      <c r="E640" s="2" t="s">
        <v>14</v>
      </c>
      <c r="F640" s="2">
        <v>372</v>
      </c>
      <c r="G640" s="2">
        <v>6570.46</v>
      </c>
      <c r="H640" s="2">
        <v>2444212</v>
      </c>
      <c r="I640" s="2">
        <v>300</v>
      </c>
    </row>
    <row r="641" spans="1:9" ht="15.75" customHeight="1">
      <c r="A641" s="2">
        <v>14</v>
      </c>
      <c r="B641" s="2" t="s">
        <v>42</v>
      </c>
      <c r="C641" s="2" t="s">
        <v>34</v>
      </c>
      <c r="D641" s="2" t="s">
        <v>18</v>
      </c>
      <c r="E641" s="2" t="s">
        <v>15</v>
      </c>
      <c r="F641" s="2">
        <v>545</v>
      </c>
      <c r="G641" s="2">
        <v>1111.4000000000001</v>
      </c>
      <c r="H641" s="2">
        <v>605711</v>
      </c>
      <c r="I641" s="2">
        <v>432</v>
      </c>
    </row>
    <row r="642" spans="1:9" ht="15.75" customHeight="1">
      <c r="A642" s="2">
        <v>14</v>
      </c>
      <c r="B642" s="2" t="s">
        <v>42</v>
      </c>
      <c r="C642" s="2" t="s">
        <v>34</v>
      </c>
      <c r="D642" s="2" t="s">
        <v>19</v>
      </c>
      <c r="E642" s="2" t="s">
        <v>12</v>
      </c>
      <c r="F642" s="2">
        <v>712</v>
      </c>
      <c r="G642" s="2">
        <v>5602.69</v>
      </c>
      <c r="H642" s="2">
        <v>3989115</v>
      </c>
      <c r="I642" s="2">
        <v>676</v>
      </c>
    </row>
    <row r="643" spans="1:9" ht="15.75" customHeight="1">
      <c r="A643" s="2">
        <v>14</v>
      </c>
      <c r="B643" s="2" t="s">
        <v>42</v>
      </c>
      <c r="C643" s="2" t="s">
        <v>34</v>
      </c>
      <c r="D643" s="2" t="s">
        <v>19</v>
      </c>
      <c r="E643" s="2" t="s">
        <v>13</v>
      </c>
      <c r="F643" s="2">
        <v>217</v>
      </c>
      <c r="G643" s="2">
        <v>22004.65</v>
      </c>
      <c r="H643" s="2">
        <v>4775009</v>
      </c>
      <c r="I643" s="2">
        <v>186</v>
      </c>
    </row>
    <row r="644" spans="1:9" ht="15.75" customHeight="1">
      <c r="A644" s="2">
        <v>14</v>
      </c>
      <c r="B644" s="2" t="s">
        <v>42</v>
      </c>
      <c r="C644" s="2" t="s">
        <v>34</v>
      </c>
      <c r="D644" s="2" t="s">
        <v>19</v>
      </c>
      <c r="E644" s="2" t="s">
        <v>14</v>
      </c>
      <c r="F644" s="2">
        <v>397</v>
      </c>
      <c r="G644" s="2">
        <v>7066.31</v>
      </c>
      <c r="H644" s="2">
        <v>2805325</v>
      </c>
      <c r="I644" s="2">
        <v>289</v>
      </c>
    </row>
    <row r="645" spans="1:9" ht="15.75" customHeight="1">
      <c r="A645" s="2">
        <v>14</v>
      </c>
      <c r="B645" s="2" t="s">
        <v>42</v>
      </c>
      <c r="C645" s="2" t="s">
        <v>34</v>
      </c>
      <c r="D645" s="2" t="s">
        <v>19</v>
      </c>
      <c r="E645" s="2" t="s">
        <v>15</v>
      </c>
      <c r="F645" s="2">
        <v>1109</v>
      </c>
      <c r="G645" s="2">
        <v>1258.21</v>
      </c>
      <c r="H645" s="2">
        <v>1395355</v>
      </c>
      <c r="I645" s="2">
        <v>1051</v>
      </c>
    </row>
    <row r="646" spans="1:9" ht="15.75" customHeight="1">
      <c r="A646" s="2">
        <v>14</v>
      </c>
      <c r="B646" s="2" t="s">
        <v>42</v>
      </c>
      <c r="C646" s="2" t="s">
        <v>34</v>
      </c>
      <c r="D646" s="2" t="s">
        <v>20</v>
      </c>
      <c r="E646" s="2" t="s">
        <v>12</v>
      </c>
      <c r="F646" s="2">
        <v>723</v>
      </c>
      <c r="G646" s="2">
        <v>5539.73</v>
      </c>
      <c r="H646" s="2">
        <v>4005224</v>
      </c>
      <c r="I646" s="2">
        <v>612</v>
      </c>
    </row>
    <row r="647" spans="1:9" ht="15.75" customHeight="1">
      <c r="A647" s="2">
        <v>14</v>
      </c>
      <c r="B647" s="2" t="s">
        <v>42</v>
      </c>
      <c r="C647" s="2" t="s">
        <v>34</v>
      </c>
      <c r="D647" s="2" t="s">
        <v>20</v>
      </c>
      <c r="E647" s="2" t="s">
        <v>13</v>
      </c>
      <c r="F647" s="2">
        <v>160</v>
      </c>
      <c r="G647" s="2">
        <v>19950.11</v>
      </c>
      <c r="H647" s="2">
        <v>3192018</v>
      </c>
      <c r="I647" s="2">
        <v>151</v>
      </c>
    </row>
    <row r="648" spans="1:9" ht="15.75" customHeight="1">
      <c r="A648" s="2">
        <v>14</v>
      </c>
      <c r="B648" s="2" t="s">
        <v>42</v>
      </c>
      <c r="C648" s="2" t="s">
        <v>34</v>
      </c>
      <c r="D648" s="2" t="s">
        <v>20</v>
      </c>
      <c r="E648" s="2" t="s">
        <v>14</v>
      </c>
      <c r="F648" s="2">
        <v>458</v>
      </c>
      <c r="G648" s="2">
        <v>6541.67</v>
      </c>
      <c r="H648" s="2">
        <v>2996083</v>
      </c>
      <c r="I648" s="2">
        <v>379</v>
      </c>
    </row>
    <row r="649" spans="1:9" ht="15.75" customHeight="1">
      <c r="A649" s="2">
        <v>14</v>
      </c>
      <c r="B649" s="2" t="s">
        <v>42</v>
      </c>
      <c r="C649" s="2" t="s">
        <v>34</v>
      </c>
      <c r="D649" s="2" t="s">
        <v>20</v>
      </c>
      <c r="E649" s="2" t="s">
        <v>15</v>
      </c>
      <c r="F649" s="2">
        <v>962</v>
      </c>
      <c r="G649" s="2">
        <v>1277.1400000000001</v>
      </c>
      <c r="H649" s="2">
        <v>1228612</v>
      </c>
      <c r="I649" s="2">
        <v>899</v>
      </c>
    </row>
    <row r="650" spans="1:9" ht="15.75" customHeight="1">
      <c r="A650" s="2">
        <v>14</v>
      </c>
      <c r="B650" s="2" t="s">
        <v>42</v>
      </c>
      <c r="C650" s="2" t="s">
        <v>34</v>
      </c>
      <c r="D650" s="2" t="s">
        <v>21</v>
      </c>
      <c r="E650" s="2" t="s">
        <v>12</v>
      </c>
      <c r="F650" s="2">
        <v>1025</v>
      </c>
      <c r="G650" s="2">
        <v>5217.72</v>
      </c>
      <c r="H650" s="2">
        <v>5348159</v>
      </c>
      <c r="I650" s="2">
        <v>814</v>
      </c>
    </row>
    <row r="651" spans="1:9" ht="15.75" customHeight="1">
      <c r="A651" s="2">
        <v>14</v>
      </c>
      <c r="B651" s="2" t="s">
        <v>42</v>
      </c>
      <c r="C651" s="2" t="s">
        <v>34</v>
      </c>
      <c r="D651" s="2" t="s">
        <v>21</v>
      </c>
      <c r="E651" s="2" t="s">
        <v>13</v>
      </c>
      <c r="F651" s="2">
        <v>163</v>
      </c>
      <c r="G651" s="2">
        <v>21923</v>
      </c>
      <c r="H651" s="2">
        <v>3573449</v>
      </c>
      <c r="I651" s="2">
        <v>121</v>
      </c>
    </row>
    <row r="652" spans="1:9" ht="15.75" customHeight="1">
      <c r="A652" s="2">
        <v>14</v>
      </c>
      <c r="B652" s="2" t="s">
        <v>42</v>
      </c>
      <c r="C652" s="2" t="s">
        <v>34</v>
      </c>
      <c r="D652" s="2" t="s">
        <v>21</v>
      </c>
      <c r="E652" s="2" t="s">
        <v>14</v>
      </c>
      <c r="F652" s="2">
        <v>248</v>
      </c>
      <c r="G652" s="2">
        <v>6908.16</v>
      </c>
      <c r="H652" s="2">
        <v>1713223</v>
      </c>
      <c r="I652" s="2">
        <v>217</v>
      </c>
    </row>
    <row r="653" spans="1:9" ht="15.75" customHeight="1">
      <c r="A653" s="2">
        <v>14</v>
      </c>
      <c r="B653" s="2" t="s">
        <v>42</v>
      </c>
      <c r="C653" s="2" t="s">
        <v>34</v>
      </c>
      <c r="D653" s="2" t="s">
        <v>21</v>
      </c>
      <c r="E653" s="2" t="s">
        <v>15</v>
      </c>
      <c r="F653" s="2">
        <v>1001</v>
      </c>
      <c r="G653" s="2">
        <v>1189.72</v>
      </c>
      <c r="H653" s="2">
        <v>1190906</v>
      </c>
      <c r="I653" s="2">
        <v>720</v>
      </c>
    </row>
    <row r="654" spans="1:9" ht="15.75" customHeight="1">
      <c r="A654" s="2">
        <v>14</v>
      </c>
      <c r="B654" s="2" t="s">
        <v>42</v>
      </c>
      <c r="C654" s="2" t="s">
        <v>34</v>
      </c>
      <c r="D654" s="2" t="s">
        <v>22</v>
      </c>
      <c r="E654" s="2" t="s">
        <v>12</v>
      </c>
      <c r="F654" s="2">
        <v>894</v>
      </c>
      <c r="G654" s="2">
        <v>4725.74</v>
      </c>
      <c r="H654" s="2">
        <v>4224815</v>
      </c>
      <c r="I654" s="2">
        <v>788</v>
      </c>
    </row>
    <row r="655" spans="1:9" ht="15.75" customHeight="1">
      <c r="A655" s="2">
        <v>14</v>
      </c>
      <c r="B655" s="2" t="s">
        <v>42</v>
      </c>
      <c r="C655" s="2" t="s">
        <v>34</v>
      </c>
      <c r="D655" s="2" t="s">
        <v>22</v>
      </c>
      <c r="E655" s="2" t="s">
        <v>13</v>
      </c>
      <c r="F655" s="2">
        <v>169</v>
      </c>
      <c r="G655" s="2">
        <v>21371.279999999999</v>
      </c>
      <c r="H655" s="2">
        <v>3611746</v>
      </c>
      <c r="I655" s="2">
        <v>120</v>
      </c>
    </row>
    <row r="656" spans="1:9" ht="15.75" customHeight="1">
      <c r="A656" s="2">
        <v>14</v>
      </c>
      <c r="B656" s="2" t="s">
        <v>42</v>
      </c>
      <c r="C656" s="2" t="s">
        <v>34</v>
      </c>
      <c r="D656" s="2" t="s">
        <v>22</v>
      </c>
      <c r="E656" s="2" t="s">
        <v>14</v>
      </c>
      <c r="F656" s="2">
        <v>373</v>
      </c>
      <c r="G656" s="2">
        <v>6400.48</v>
      </c>
      <c r="H656" s="2">
        <v>2387381</v>
      </c>
      <c r="I656" s="2">
        <v>331</v>
      </c>
    </row>
    <row r="657" spans="1:9" ht="15.75" customHeight="1">
      <c r="A657" s="2">
        <v>14</v>
      </c>
      <c r="B657" s="2" t="s">
        <v>42</v>
      </c>
      <c r="C657" s="2" t="s">
        <v>34</v>
      </c>
      <c r="D657" s="2" t="s">
        <v>22</v>
      </c>
      <c r="E657" s="2" t="s">
        <v>15</v>
      </c>
      <c r="F657" s="2">
        <v>1063</v>
      </c>
      <c r="G657" s="2">
        <v>1230.18</v>
      </c>
      <c r="H657" s="2">
        <v>1307680</v>
      </c>
      <c r="I657" s="2">
        <v>869</v>
      </c>
    </row>
    <row r="658" spans="1:9" ht="15.75" customHeight="1">
      <c r="A658" s="2">
        <v>14</v>
      </c>
      <c r="B658" s="2" t="s">
        <v>42</v>
      </c>
      <c r="C658" s="2" t="s">
        <v>34</v>
      </c>
      <c r="D658" s="2" t="s">
        <v>23</v>
      </c>
      <c r="E658" s="2" t="s">
        <v>12</v>
      </c>
      <c r="F658" s="2">
        <v>1007</v>
      </c>
      <c r="G658" s="2">
        <v>5279.97</v>
      </c>
      <c r="H658" s="2">
        <v>5316929</v>
      </c>
      <c r="I658" s="2">
        <v>770</v>
      </c>
    </row>
    <row r="659" spans="1:9" ht="15.75" customHeight="1">
      <c r="A659" s="2">
        <v>14</v>
      </c>
      <c r="B659" s="2" t="s">
        <v>42</v>
      </c>
      <c r="C659" s="2" t="s">
        <v>34</v>
      </c>
      <c r="D659" s="2" t="s">
        <v>23</v>
      </c>
      <c r="E659" s="2" t="s">
        <v>13</v>
      </c>
      <c r="F659" s="2">
        <v>113</v>
      </c>
      <c r="G659" s="2">
        <v>21337.06</v>
      </c>
      <c r="H659" s="2">
        <v>2411088</v>
      </c>
      <c r="I659" s="2">
        <v>86</v>
      </c>
    </row>
    <row r="660" spans="1:9" ht="15.75" customHeight="1">
      <c r="A660" s="2">
        <v>14</v>
      </c>
      <c r="B660" s="2" t="s">
        <v>42</v>
      </c>
      <c r="C660" s="2" t="s">
        <v>34</v>
      </c>
      <c r="D660" s="2" t="s">
        <v>23</v>
      </c>
      <c r="E660" s="2" t="s">
        <v>14</v>
      </c>
      <c r="F660" s="2">
        <v>381</v>
      </c>
      <c r="G660" s="2">
        <v>7048.07</v>
      </c>
      <c r="H660" s="2">
        <v>2685313</v>
      </c>
      <c r="I660" s="2">
        <v>292</v>
      </c>
    </row>
    <row r="661" spans="1:9" ht="15.75" customHeight="1">
      <c r="A661" s="2">
        <v>14</v>
      </c>
      <c r="B661" s="2" t="s">
        <v>42</v>
      </c>
      <c r="C661" s="2" t="s">
        <v>34</v>
      </c>
      <c r="D661" s="2" t="s">
        <v>23</v>
      </c>
      <c r="E661" s="2" t="s">
        <v>15</v>
      </c>
      <c r="F661" s="2">
        <v>627</v>
      </c>
      <c r="G661" s="2">
        <v>1176.07</v>
      </c>
      <c r="H661" s="2">
        <v>737396</v>
      </c>
      <c r="I661" s="2">
        <v>444</v>
      </c>
    </row>
    <row r="662" spans="1:9" ht="15.75" customHeight="1">
      <c r="A662" s="2">
        <v>14</v>
      </c>
      <c r="B662" s="2" t="s">
        <v>42</v>
      </c>
      <c r="C662" s="2" t="s">
        <v>34</v>
      </c>
      <c r="D662" s="2" t="s">
        <v>24</v>
      </c>
      <c r="E662" s="2" t="s">
        <v>12</v>
      </c>
      <c r="F662" s="2">
        <v>1195</v>
      </c>
      <c r="G662" s="2">
        <v>5510.61</v>
      </c>
      <c r="H662" s="2">
        <v>6585181</v>
      </c>
      <c r="I662" s="2">
        <v>939</v>
      </c>
    </row>
    <row r="663" spans="1:9" ht="15.75" customHeight="1">
      <c r="A663" s="2">
        <v>14</v>
      </c>
      <c r="B663" s="2" t="s">
        <v>42</v>
      </c>
      <c r="C663" s="2" t="s">
        <v>34</v>
      </c>
      <c r="D663" s="2" t="s">
        <v>24</v>
      </c>
      <c r="E663" s="2" t="s">
        <v>13</v>
      </c>
      <c r="F663" s="2">
        <v>106</v>
      </c>
      <c r="G663" s="2">
        <v>23126.639999999999</v>
      </c>
      <c r="H663" s="2">
        <v>2451424</v>
      </c>
      <c r="I663" s="2">
        <v>76</v>
      </c>
    </row>
    <row r="664" spans="1:9" ht="15.75" customHeight="1">
      <c r="A664" s="2">
        <v>14</v>
      </c>
      <c r="B664" s="2" t="s">
        <v>42</v>
      </c>
      <c r="C664" s="2" t="s">
        <v>34</v>
      </c>
      <c r="D664" s="2" t="s">
        <v>24</v>
      </c>
      <c r="E664" s="2" t="s">
        <v>14</v>
      </c>
      <c r="F664" s="2">
        <v>359</v>
      </c>
      <c r="G664" s="2">
        <v>6774.12</v>
      </c>
      <c r="H664" s="2">
        <v>2431910</v>
      </c>
      <c r="I664" s="2">
        <v>301</v>
      </c>
    </row>
    <row r="665" spans="1:9" ht="15.75" customHeight="1">
      <c r="A665" s="2">
        <v>14</v>
      </c>
      <c r="B665" s="2" t="s">
        <v>42</v>
      </c>
      <c r="C665" s="2" t="s">
        <v>34</v>
      </c>
      <c r="D665" s="2" t="s">
        <v>24</v>
      </c>
      <c r="E665" s="2" t="s">
        <v>15</v>
      </c>
      <c r="F665" s="2">
        <v>598</v>
      </c>
      <c r="G665" s="2">
        <v>1208.73</v>
      </c>
      <c r="H665" s="2">
        <v>722822</v>
      </c>
      <c r="I665" s="2">
        <v>477</v>
      </c>
    </row>
    <row r="666" spans="1:9" ht="15.75" customHeight="1">
      <c r="A666" s="2">
        <v>14</v>
      </c>
      <c r="B666" s="2" t="s">
        <v>42</v>
      </c>
      <c r="C666" s="2" t="s">
        <v>34</v>
      </c>
      <c r="D666" s="2" t="s">
        <v>25</v>
      </c>
      <c r="E666" s="2" t="s">
        <v>12</v>
      </c>
      <c r="F666" s="2">
        <v>1091</v>
      </c>
      <c r="G666" s="2">
        <v>5408.49</v>
      </c>
      <c r="H666" s="2">
        <v>5900666</v>
      </c>
      <c r="I666" s="2">
        <v>898</v>
      </c>
    </row>
    <row r="667" spans="1:9" ht="15.75" customHeight="1">
      <c r="A667" s="2">
        <v>14</v>
      </c>
      <c r="B667" s="2" t="s">
        <v>42</v>
      </c>
      <c r="C667" s="2" t="s">
        <v>34</v>
      </c>
      <c r="D667" s="2" t="s">
        <v>25</v>
      </c>
      <c r="E667" s="2" t="s">
        <v>13</v>
      </c>
      <c r="F667" s="2">
        <v>120</v>
      </c>
      <c r="G667" s="2">
        <v>22503.49</v>
      </c>
      <c r="H667" s="2">
        <v>2700418</v>
      </c>
      <c r="I667" s="2">
        <v>91</v>
      </c>
    </row>
    <row r="668" spans="1:9" ht="15.75" customHeight="1">
      <c r="A668" s="2">
        <v>14</v>
      </c>
      <c r="B668" s="2" t="s">
        <v>42</v>
      </c>
      <c r="C668" s="2" t="s">
        <v>34</v>
      </c>
      <c r="D668" s="2" t="s">
        <v>25</v>
      </c>
      <c r="E668" s="2" t="s">
        <v>14</v>
      </c>
      <c r="F668" s="2">
        <v>330</v>
      </c>
      <c r="G668" s="2">
        <v>6448.68</v>
      </c>
      <c r="H668" s="2">
        <v>2128063</v>
      </c>
      <c r="I668" s="2">
        <v>258</v>
      </c>
    </row>
    <row r="669" spans="1:9" ht="15.75" customHeight="1">
      <c r="A669" s="2">
        <v>14</v>
      </c>
      <c r="B669" s="2" t="s">
        <v>42</v>
      </c>
      <c r="C669" s="2" t="s">
        <v>34</v>
      </c>
      <c r="D669" s="2" t="s">
        <v>25</v>
      </c>
      <c r="E669" s="2" t="s">
        <v>15</v>
      </c>
      <c r="F669" s="2">
        <v>770</v>
      </c>
      <c r="G669" s="2">
        <v>1261.08</v>
      </c>
      <c r="H669" s="2">
        <v>971032</v>
      </c>
      <c r="I669" s="2">
        <v>726</v>
      </c>
    </row>
    <row r="670" spans="1:9" ht="15.75" customHeight="1">
      <c r="A670" s="2">
        <v>14</v>
      </c>
      <c r="B670" s="2" t="s">
        <v>42</v>
      </c>
      <c r="C670" s="2" t="s">
        <v>34</v>
      </c>
      <c r="D670" s="2" t="s">
        <v>26</v>
      </c>
      <c r="E670" s="2" t="s">
        <v>12</v>
      </c>
      <c r="F670" s="2">
        <v>983</v>
      </c>
      <c r="G670" s="2">
        <v>5135.38</v>
      </c>
      <c r="H670" s="2">
        <v>5048075</v>
      </c>
      <c r="I670" s="2">
        <v>856</v>
      </c>
    </row>
    <row r="671" spans="1:9" ht="15.75" customHeight="1">
      <c r="A671" s="2">
        <v>14</v>
      </c>
      <c r="B671" s="2" t="s">
        <v>42</v>
      </c>
      <c r="C671" s="2" t="s">
        <v>34</v>
      </c>
      <c r="D671" s="2" t="s">
        <v>26</v>
      </c>
      <c r="E671" s="2" t="s">
        <v>13</v>
      </c>
      <c r="F671" s="2">
        <v>132</v>
      </c>
      <c r="G671" s="2">
        <v>21368.66</v>
      </c>
      <c r="H671" s="2">
        <v>2820663</v>
      </c>
      <c r="I671" s="2">
        <v>109</v>
      </c>
    </row>
    <row r="672" spans="1:9" ht="15.75" customHeight="1">
      <c r="A672" s="2">
        <v>14</v>
      </c>
      <c r="B672" s="2" t="s">
        <v>42</v>
      </c>
      <c r="C672" s="2" t="s">
        <v>34</v>
      </c>
      <c r="D672" s="2" t="s">
        <v>26</v>
      </c>
      <c r="E672" s="2" t="s">
        <v>14</v>
      </c>
      <c r="F672" s="2">
        <v>260</v>
      </c>
      <c r="G672" s="2">
        <v>6552.41</v>
      </c>
      <c r="H672" s="2">
        <v>1703626</v>
      </c>
      <c r="I672" s="2">
        <v>217</v>
      </c>
    </row>
    <row r="673" spans="1:9" ht="15.75" customHeight="1">
      <c r="A673" s="2">
        <v>14</v>
      </c>
      <c r="B673" s="2" t="s">
        <v>42</v>
      </c>
      <c r="C673" s="2" t="s">
        <v>34</v>
      </c>
      <c r="D673" s="2" t="s">
        <v>26</v>
      </c>
      <c r="E673" s="2" t="s">
        <v>15</v>
      </c>
      <c r="F673" s="2">
        <v>822</v>
      </c>
      <c r="G673" s="2">
        <v>1060.3399999999999</v>
      </c>
      <c r="H673" s="2">
        <v>871597</v>
      </c>
      <c r="I673" s="2">
        <v>720</v>
      </c>
    </row>
    <row r="674" spans="1:9" ht="15.75" customHeight="1">
      <c r="A674" s="2">
        <v>15</v>
      </c>
      <c r="B674" s="2" t="s">
        <v>43</v>
      </c>
      <c r="C674" s="2" t="s">
        <v>10</v>
      </c>
      <c r="D674" s="2" t="s">
        <v>11</v>
      </c>
      <c r="E674" s="2" t="s">
        <v>12</v>
      </c>
      <c r="F674" s="2">
        <v>1128</v>
      </c>
      <c r="G674" s="2">
        <v>5032.43</v>
      </c>
      <c r="H674" s="2">
        <v>5676576</v>
      </c>
      <c r="I674" s="2">
        <v>1028</v>
      </c>
    </row>
    <row r="675" spans="1:9" ht="15.75" customHeight="1">
      <c r="A675" s="2">
        <v>15</v>
      </c>
      <c r="B675" s="2" t="s">
        <v>43</v>
      </c>
      <c r="C675" s="2" t="s">
        <v>10</v>
      </c>
      <c r="D675" s="2" t="s">
        <v>11</v>
      </c>
      <c r="E675" s="2" t="s">
        <v>13</v>
      </c>
      <c r="F675" s="2">
        <v>173</v>
      </c>
      <c r="G675" s="2">
        <v>21941.25</v>
      </c>
      <c r="H675" s="2">
        <v>3795836</v>
      </c>
      <c r="I675" s="2">
        <v>128</v>
      </c>
    </row>
    <row r="676" spans="1:9" ht="15.75" customHeight="1">
      <c r="A676" s="2">
        <v>15</v>
      </c>
      <c r="B676" s="2" t="s">
        <v>43</v>
      </c>
      <c r="C676" s="2" t="s">
        <v>10</v>
      </c>
      <c r="D676" s="2" t="s">
        <v>11</v>
      </c>
      <c r="E676" s="2" t="s">
        <v>14</v>
      </c>
      <c r="F676" s="2">
        <v>201</v>
      </c>
      <c r="G676" s="2">
        <v>6362.71</v>
      </c>
      <c r="H676" s="2">
        <v>1278905</v>
      </c>
      <c r="I676" s="2">
        <v>145</v>
      </c>
    </row>
    <row r="677" spans="1:9" ht="15.75" customHeight="1">
      <c r="A677" s="2">
        <v>15</v>
      </c>
      <c r="B677" s="2" t="s">
        <v>43</v>
      </c>
      <c r="C677" s="2" t="s">
        <v>10</v>
      </c>
      <c r="D677" s="2" t="s">
        <v>11</v>
      </c>
      <c r="E677" s="2" t="s">
        <v>15</v>
      </c>
      <c r="F677" s="2">
        <v>543</v>
      </c>
      <c r="G677" s="2">
        <v>1265.02</v>
      </c>
      <c r="H677" s="2">
        <v>686905</v>
      </c>
      <c r="I677" s="2">
        <v>435</v>
      </c>
    </row>
    <row r="678" spans="1:9" ht="15.75" customHeight="1">
      <c r="A678" s="2">
        <v>15</v>
      </c>
      <c r="B678" s="2" t="s">
        <v>43</v>
      </c>
      <c r="C678" s="2" t="s">
        <v>10</v>
      </c>
      <c r="D678" s="2" t="s">
        <v>16</v>
      </c>
      <c r="E678" s="2" t="s">
        <v>12</v>
      </c>
      <c r="F678" s="2">
        <v>685</v>
      </c>
      <c r="G678" s="2">
        <v>5488.9</v>
      </c>
      <c r="H678" s="2">
        <v>3759895</v>
      </c>
      <c r="I678" s="2">
        <v>498</v>
      </c>
    </row>
    <row r="679" spans="1:9" ht="15.75" customHeight="1">
      <c r="A679" s="2">
        <v>15</v>
      </c>
      <c r="B679" s="2" t="s">
        <v>43</v>
      </c>
      <c r="C679" s="2" t="s">
        <v>10</v>
      </c>
      <c r="D679" s="2" t="s">
        <v>16</v>
      </c>
      <c r="E679" s="2" t="s">
        <v>13</v>
      </c>
      <c r="F679" s="2">
        <v>158</v>
      </c>
      <c r="G679" s="2">
        <v>20948.62</v>
      </c>
      <c r="H679" s="2">
        <v>3309881</v>
      </c>
      <c r="I679" s="2">
        <v>128</v>
      </c>
    </row>
    <row r="680" spans="1:9" ht="15.75" customHeight="1">
      <c r="A680" s="2">
        <v>15</v>
      </c>
      <c r="B680" s="2" t="s">
        <v>43</v>
      </c>
      <c r="C680" s="2" t="s">
        <v>10</v>
      </c>
      <c r="D680" s="2" t="s">
        <v>16</v>
      </c>
      <c r="E680" s="2" t="s">
        <v>14</v>
      </c>
      <c r="F680" s="2">
        <v>391</v>
      </c>
      <c r="G680" s="2">
        <v>6695.92</v>
      </c>
      <c r="H680" s="2">
        <v>2618104</v>
      </c>
      <c r="I680" s="2">
        <v>306</v>
      </c>
    </row>
    <row r="681" spans="1:9" ht="15.75" customHeight="1">
      <c r="A681" s="2">
        <v>15</v>
      </c>
      <c r="B681" s="2" t="s">
        <v>43</v>
      </c>
      <c r="C681" s="2" t="s">
        <v>10</v>
      </c>
      <c r="D681" s="2" t="s">
        <v>16</v>
      </c>
      <c r="E681" s="2" t="s">
        <v>15</v>
      </c>
      <c r="F681" s="2">
        <v>676</v>
      </c>
      <c r="G681" s="2">
        <v>1345.74</v>
      </c>
      <c r="H681" s="2">
        <v>909717</v>
      </c>
      <c r="I681" s="2">
        <v>501</v>
      </c>
    </row>
    <row r="682" spans="1:9" ht="15.75" customHeight="1">
      <c r="A682" s="2">
        <v>15</v>
      </c>
      <c r="B682" s="2" t="s">
        <v>43</v>
      </c>
      <c r="C682" s="2" t="s">
        <v>10</v>
      </c>
      <c r="D682" s="2" t="s">
        <v>17</v>
      </c>
      <c r="E682" s="2" t="s">
        <v>12</v>
      </c>
      <c r="F682" s="2">
        <v>982</v>
      </c>
      <c r="G682" s="2">
        <v>5459.09</v>
      </c>
      <c r="H682" s="2">
        <v>5360824</v>
      </c>
      <c r="I682" s="2">
        <v>691</v>
      </c>
    </row>
    <row r="683" spans="1:9" ht="15.75" customHeight="1">
      <c r="A683" s="2">
        <v>15</v>
      </c>
      <c r="B683" s="2" t="s">
        <v>43</v>
      </c>
      <c r="C683" s="2" t="s">
        <v>10</v>
      </c>
      <c r="D683" s="2" t="s">
        <v>17</v>
      </c>
      <c r="E683" s="2" t="s">
        <v>13</v>
      </c>
      <c r="F683" s="2">
        <v>178</v>
      </c>
      <c r="G683" s="2">
        <v>22147.16</v>
      </c>
      <c r="H683" s="2">
        <v>3942195</v>
      </c>
      <c r="I683" s="2">
        <v>163</v>
      </c>
    </row>
    <row r="684" spans="1:9" ht="15.75" customHeight="1">
      <c r="A684" s="2">
        <v>15</v>
      </c>
      <c r="B684" s="2" t="s">
        <v>43</v>
      </c>
      <c r="C684" s="2" t="s">
        <v>10</v>
      </c>
      <c r="D684" s="2" t="s">
        <v>17</v>
      </c>
      <c r="E684" s="2" t="s">
        <v>14</v>
      </c>
      <c r="F684" s="2">
        <v>291</v>
      </c>
      <c r="G684" s="2">
        <v>7174.78</v>
      </c>
      <c r="H684" s="2">
        <v>2087860</v>
      </c>
      <c r="I684" s="2">
        <v>244</v>
      </c>
    </row>
    <row r="685" spans="1:9" ht="15.75" customHeight="1">
      <c r="A685" s="2">
        <v>15</v>
      </c>
      <c r="B685" s="2" t="s">
        <v>43</v>
      </c>
      <c r="C685" s="2" t="s">
        <v>10</v>
      </c>
      <c r="D685" s="2" t="s">
        <v>17</v>
      </c>
      <c r="E685" s="2" t="s">
        <v>15</v>
      </c>
      <c r="F685" s="2">
        <v>465</v>
      </c>
      <c r="G685" s="2">
        <v>1237.99</v>
      </c>
      <c r="H685" s="2">
        <v>575664</v>
      </c>
      <c r="I685" s="2">
        <v>333</v>
      </c>
    </row>
    <row r="686" spans="1:9" ht="15.75" customHeight="1">
      <c r="A686" s="2">
        <v>15</v>
      </c>
      <c r="B686" s="2" t="s">
        <v>43</v>
      </c>
      <c r="C686" s="2" t="s">
        <v>10</v>
      </c>
      <c r="D686" s="2" t="s">
        <v>18</v>
      </c>
      <c r="E686" s="2" t="s">
        <v>12</v>
      </c>
      <c r="F686" s="2">
        <v>853</v>
      </c>
      <c r="G686" s="2">
        <v>5043.41</v>
      </c>
      <c r="H686" s="2">
        <v>4302031</v>
      </c>
      <c r="I686" s="2">
        <v>680</v>
      </c>
    </row>
    <row r="687" spans="1:9" ht="15.75" customHeight="1">
      <c r="A687" s="2">
        <v>15</v>
      </c>
      <c r="B687" s="2" t="s">
        <v>43</v>
      </c>
      <c r="C687" s="2" t="s">
        <v>10</v>
      </c>
      <c r="D687" s="2" t="s">
        <v>18</v>
      </c>
      <c r="E687" s="2" t="s">
        <v>13</v>
      </c>
      <c r="F687" s="2">
        <v>105</v>
      </c>
      <c r="G687" s="2">
        <v>20762.5</v>
      </c>
      <c r="H687" s="2">
        <v>2180063</v>
      </c>
      <c r="I687" s="2">
        <v>83</v>
      </c>
    </row>
    <row r="688" spans="1:9" ht="15.75" customHeight="1">
      <c r="A688" s="2">
        <v>15</v>
      </c>
      <c r="B688" s="2" t="s">
        <v>43</v>
      </c>
      <c r="C688" s="2" t="s">
        <v>10</v>
      </c>
      <c r="D688" s="2" t="s">
        <v>18</v>
      </c>
      <c r="E688" s="2" t="s">
        <v>14</v>
      </c>
      <c r="F688" s="2">
        <v>478</v>
      </c>
      <c r="G688" s="2">
        <v>6572.09</v>
      </c>
      <c r="H688" s="2">
        <v>3141460</v>
      </c>
      <c r="I688" s="2">
        <v>427</v>
      </c>
    </row>
    <row r="689" spans="1:9" ht="15.75" customHeight="1">
      <c r="A689" s="2">
        <v>15</v>
      </c>
      <c r="B689" s="2" t="s">
        <v>43</v>
      </c>
      <c r="C689" s="2" t="s">
        <v>10</v>
      </c>
      <c r="D689" s="2" t="s">
        <v>18</v>
      </c>
      <c r="E689" s="2" t="s">
        <v>15</v>
      </c>
      <c r="F689" s="2">
        <v>706</v>
      </c>
      <c r="G689" s="2">
        <v>1314.84</v>
      </c>
      <c r="H689" s="2">
        <v>928280</v>
      </c>
      <c r="I689" s="2">
        <v>528</v>
      </c>
    </row>
    <row r="690" spans="1:9" ht="15.75" customHeight="1">
      <c r="A690" s="2">
        <v>15</v>
      </c>
      <c r="B690" s="2" t="s">
        <v>43</v>
      </c>
      <c r="C690" s="2" t="s">
        <v>10</v>
      </c>
      <c r="D690" s="2" t="s">
        <v>19</v>
      </c>
      <c r="E690" s="2" t="s">
        <v>12</v>
      </c>
      <c r="F690" s="2">
        <v>867</v>
      </c>
      <c r="G690" s="2">
        <v>4933.8500000000004</v>
      </c>
      <c r="H690" s="2">
        <v>4277645</v>
      </c>
      <c r="I690" s="2">
        <v>778</v>
      </c>
    </row>
    <row r="691" spans="1:9" ht="15.75" customHeight="1">
      <c r="A691" s="2">
        <v>15</v>
      </c>
      <c r="B691" s="2" t="s">
        <v>43</v>
      </c>
      <c r="C691" s="2" t="s">
        <v>10</v>
      </c>
      <c r="D691" s="2" t="s">
        <v>19</v>
      </c>
      <c r="E691" s="2" t="s">
        <v>13</v>
      </c>
      <c r="F691" s="2">
        <v>184</v>
      </c>
      <c r="G691" s="2">
        <v>21660.52</v>
      </c>
      <c r="H691" s="2">
        <v>3985536</v>
      </c>
      <c r="I691" s="2">
        <v>143</v>
      </c>
    </row>
    <row r="692" spans="1:9" ht="15.75" customHeight="1">
      <c r="A692" s="2">
        <v>15</v>
      </c>
      <c r="B692" s="2" t="s">
        <v>43</v>
      </c>
      <c r="C692" s="2" t="s">
        <v>10</v>
      </c>
      <c r="D692" s="2" t="s">
        <v>19</v>
      </c>
      <c r="E692" s="2" t="s">
        <v>14</v>
      </c>
      <c r="F692" s="2">
        <v>246</v>
      </c>
      <c r="G692" s="2">
        <v>5872.12</v>
      </c>
      <c r="H692" s="2">
        <v>1444542</v>
      </c>
      <c r="I692" s="2">
        <v>206</v>
      </c>
    </row>
    <row r="693" spans="1:9" ht="15.75" customHeight="1">
      <c r="A693" s="2">
        <v>15</v>
      </c>
      <c r="B693" s="2" t="s">
        <v>43</v>
      </c>
      <c r="C693" s="2" t="s">
        <v>10</v>
      </c>
      <c r="D693" s="2" t="s">
        <v>19</v>
      </c>
      <c r="E693" s="2" t="s">
        <v>15</v>
      </c>
      <c r="F693" s="2">
        <v>785</v>
      </c>
      <c r="G693" s="2">
        <v>1306.3399999999999</v>
      </c>
      <c r="H693" s="2">
        <v>1025475</v>
      </c>
      <c r="I693" s="2">
        <v>611</v>
      </c>
    </row>
    <row r="694" spans="1:9" ht="15.75" customHeight="1">
      <c r="A694" s="2">
        <v>15</v>
      </c>
      <c r="B694" s="2" t="s">
        <v>43</v>
      </c>
      <c r="C694" s="2" t="s">
        <v>10</v>
      </c>
      <c r="D694" s="2" t="s">
        <v>20</v>
      </c>
      <c r="E694" s="2" t="s">
        <v>12</v>
      </c>
      <c r="F694" s="2">
        <v>986</v>
      </c>
      <c r="G694" s="2">
        <v>5457.78</v>
      </c>
      <c r="H694" s="2">
        <v>5381371</v>
      </c>
      <c r="I694" s="2">
        <v>731</v>
      </c>
    </row>
    <row r="695" spans="1:9" ht="15.75" customHeight="1">
      <c r="A695" s="2">
        <v>15</v>
      </c>
      <c r="B695" s="2" t="s">
        <v>43</v>
      </c>
      <c r="C695" s="2" t="s">
        <v>10</v>
      </c>
      <c r="D695" s="2" t="s">
        <v>20</v>
      </c>
      <c r="E695" s="2" t="s">
        <v>13</v>
      </c>
      <c r="F695" s="2">
        <v>228</v>
      </c>
      <c r="G695" s="2">
        <v>21282.47</v>
      </c>
      <c r="H695" s="2">
        <v>4852403</v>
      </c>
      <c r="I695" s="2">
        <v>161</v>
      </c>
    </row>
    <row r="696" spans="1:9" ht="15.75" customHeight="1">
      <c r="A696" s="2">
        <v>15</v>
      </c>
      <c r="B696" s="2" t="s">
        <v>43</v>
      </c>
      <c r="C696" s="2" t="s">
        <v>10</v>
      </c>
      <c r="D696" s="2" t="s">
        <v>20</v>
      </c>
      <c r="E696" s="2" t="s">
        <v>14</v>
      </c>
      <c r="F696" s="2">
        <v>207</v>
      </c>
      <c r="G696" s="2">
        <v>6789.39</v>
      </c>
      <c r="H696" s="2">
        <v>1405405</v>
      </c>
      <c r="I696" s="2">
        <v>152</v>
      </c>
    </row>
    <row r="697" spans="1:9" ht="15.75" customHeight="1">
      <c r="A697" s="2">
        <v>15</v>
      </c>
      <c r="B697" s="2" t="s">
        <v>43</v>
      </c>
      <c r="C697" s="2" t="s">
        <v>10</v>
      </c>
      <c r="D697" s="2" t="s">
        <v>20</v>
      </c>
      <c r="E697" s="2" t="s">
        <v>15</v>
      </c>
      <c r="F697" s="2">
        <v>659</v>
      </c>
      <c r="G697" s="2">
        <v>1276.0899999999999</v>
      </c>
      <c r="H697" s="2">
        <v>840944</v>
      </c>
      <c r="I697" s="2">
        <v>592</v>
      </c>
    </row>
    <row r="698" spans="1:9" ht="15.75" customHeight="1">
      <c r="A698" s="2">
        <v>15</v>
      </c>
      <c r="B698" s="2" t="s">
        <v>43</v>
      </c>
      <c r="C698" s="2" t="s">
        <v>10</v>
      </c>
      <c r="D698" s="2" t="s">
        <v>21</v>
      </c>
      <c r="E698" s="2" t="s">
        <v>12</v>
      </c>
      <c r="F698" s="2">
        <v>965</v>
      </c>
      <c r="G698" s="2">
        <v>5304.84</v>
      </c>
      <c r="H698" s="2">
        <v>5119174</v>
      </c>
      <c r="I698" s="2">
        <v>908</v>
      </c>
    </row>
    <row r="699" spans="1:9" ht="15.75" customHeight="1">
      <c r="A699" s="2">
        <v>15</v>
      </c>
      <c r="B699" s="2" t="s">
        <v>43</v>
      </c>
      <c r="C699" s="2" t="s">
        <v>10</v>
      </c>
      <c r="D699" s="2" t="s">
        <v>21</v>
      </c>
      <c r="E699" s="2" t="s">
        <v>13</v>
      </c>
      <c r="F699" s="2">
        <v>162</v>
      </c>
      <c r="G699" s="2">
        <v>22629.78</v>
      </c>
      <c r="H699" s="2">
        <v>3666024</v>
      </c>
      <c r="I699" s="2">
        <v>133</v>
      </c>
    </row>
    <row r="700" spans="1:9" ht="15.75" customHeight="1">
      <c r="A700" s="2">
        <v>15</v>
      </c>
      <c r="B700" s="2" t="s">
        <v>43</v>
      </c>
      <c r="C700" s="2" t="s">
        <v>10</v>
      </c>
      <c r="D700" s="2" t="s">
        <v>21</v>
      </c>
      <c r="E700" s="2" t="s">
        <v>14</v>
      </c>
      <c r="F700" s="2">
        <v>220</v>
      </c>
      <c r="G700" s="2">
        <v>6423.25</v>
      </c>
      <c r="H700" s="2">
        <v>1413114</v>
      </c>
      <c r="I700" s="2">
        <v>208</v>
      </c>
    </row>
    <row r="701" spans="1:9" ht="15.75" customHeight="1">
      <c r="A701" s="2">
        <v>15</v>
      </c>
      <c r="B701" s="2" t="s">
        <v>43</v>
      </c>
      <c r="C701" s="2" t="s">
        <v>10</v>
      </c>
      <c r="D701" s="2" t="s">
        <v>21</v>
      </c>
      <c r="E701" s="2" t="s">
        <v>15</v>
      </c>
      <c r="F701" s="2">
        <v>905</v>
      </c>
      <c r="G701" s="2">
        <v>1317.37</v>
      </c>
      <c r="H701" s="2">
        <v>1192222</v>
      </c>
      <c r="I701" s="2">
        <v>730</v>
      </c>
    </row>
    <row r="702" spans="1:9" ht="15.75" customHeight="1">
      <c r="A702" s="2">
        <v>15</v>
      </c>
      <c r="B702" s="2" t="s">
        <v>43</v>
      </c>
      <c r="C702" s="2" t="s">
        <v>10</v>
      </c>
      <c r="D702" s="2" t="s">
        <v>22</v>
      </c>
      <c r="E702" s="2" t="s">
        <v>12</v>
      </c>
      <c r="F702" s="2">
        <v>846</v>
      </c>
      <c r="G702" s="2">
        <v>5377.98</v>
      </c>
      <c r="H702" s="2">
        <v>4549769</v>
      </c>
      <c r="I702" s="2">
        <v>611</v>
      </c>
    </row>
    <row r="703" spans="1:9" ht="15.75" customHeight="1">
      <c r="A703" s="2">
        <v>15</v>
      </c>
      <c r="B703" s="2" t="s">
        <v>43</v>
      </c>
      <c r="C703" s="2" t="s">
        <v>10</v>
      </c>
      <c r="D703" s="2" t="s">
        <v>22</v>
      </c>
      <c r="E703" s="2" t="s">
        <v>13</v>
      </c>
      <c r="F703" s="2">
        <v>124</v>
      </c>
      <c r="G703" s="2">
        <v>20882.099999999999</v>
      </c>
      <c r="H703" s="2">
        <v>2589381</v>
      </c>
      <c r="I703" s="2">
        <v>112</v>
      </c>
    </row>
    <row r="704" spans="1:9" ht="15.75" customHeight="1">
      <c r="A704" s="2">
        <v>15</v>
      </c>
      <c r="B704" s="2" t="s">
        <v>43</v>
      </c>
      <c r="C704" s="2" t="s">
        <v>10</v>
      </c>
      <c r="D704" s="2" t="s">
        <v>22</v>
      </c>
      <c r="E704" s="2" t="s">
        <v>14</v>
      </c>
      <c r="F704" s="2">
        <v>353</v>
      </c>
      <c r="G704" s="2">
        <v>6758.32</v>
      </c>
      <c r="H704" s="2">
        <v>2385685</v>
      </c>
      <c r="I704" s="2">
        <v>263</v>
      </c>
    </row>
    <row r="705" spans="1:9" ht="15.75" customHeight="1">
      <c r="A705" s="2">
        <v>15</v>
      </c>
      <c r="B705" s="2" t="s">
        <v>43</v>
      </c>
      <c r="C705" s="2" t="s">
        <v>10</v>
      </c>
      <c r="D705" s="2" t="s">
        <v>22</v>
      </c>
      <c r="E705" s="2" t="s">
        <v>15</v>
      </c>
      <c r="F705" s="2">
        <v>876</v>
      </c>
      <c r="G705" s="2">
        <v>1164.68</v>
      </c>
      <c r="H705" s="2">
        <v>1020263</v>
      </c>
      <c r="I705" s="2">
        <v>678</v>
      </c>
    </row>
    <row r="706" spans="1:9" ht="15.75" customHeight="1">
      <c r="A706" s="2">
        <v>15</v>
      </c>
      <c r="B706" s="2" t="s">
        <v>43</v>
      </c>
      <c r="C706" s="2" t="s">
        <v>10</v>
      </c>
      <c r="D706" s="2" t="s">
        <v>23</v>
      </c>
      <c r="E706" s="2" t="s">
        <v>12</v>
      </c>
      <c r="F706" s="2">
        <v>1085</v>
      </c>
      <c r="G706" s="2">
        <v>5661.58</v>
      </c>
      <c r="H706" s="2">
        <v>6142809</v>
      </c>
      <c r="I706" s="2">
        <v>844</v>
      </c>
    </row>
    <row r="707" spans="1:9" ht="15.75" customHeight="1">
      <c r="A707" s="2">
        <v>15</v>
      </c>
      <c r="B707" s="2" t="s">
        <v>43</v>
      </c>
      <c r="C707" s="2" t="s">
        <v>10</v>
      </c>
      <c r="D707" s="2" t="s">
        <v>23</v>
      </c>
      <c r="E707" s="2" t="s">
        <v>13</v>
      </c>
      <c r="F707" s="2">
        <v>238</v>
      </c>
      <c r="G707" s="2">
        <v>21780.63</v>
      </c>
      <c r="H707" s="2">
        <v>5183789</v>
      </c>
      <c r="I707" s="2">
        <v>220</v>
      </c>
    </row>
    <row r="708" spans="1:9" ht="15.75" customHeight="1">
      <c r="A708" s="2">
        <v>15</v>
      </c>
      <c r="B708" s="2" t="s">
        <v>43</v>
      </c>
      <c r="C708" s="2" t="s">
        <v>10</v>
      </c>
      <c r="D708" s="2" t="s">
        <v>23</v>
      </c>
      <c r="E708" s="2" t="s">
        <v>14</v>
      </c>
      <c r="F708" s="2">
        <v>412</v>
      </c>
      <c r="G708" s="2">
        <v>6921.03</v>
      </c>
      <c r="H708" s="2">
        <v>2851463</v>
      </c>
      <c r="I708" s="2">
        <v>379</v>
      </c>
    </row>
    <row r="709" spans="1:9" ht="15.75" customHeight="1">
      <c r="A709" s="2">
        <v>15</v>
      </c>
      <c r="B709" s="2" t="s">
        <v>43</v>
      </c>
      <c r="C709" s="2" t="s">
        <v>10</v>
      </c>
      <c r="D709" s="2" t="s">
        <v>23</v>
      </c>
      <c r="E709" s="2" t="s">
        <v>15</v>
      </c>
      <c r="F709" s="2">
        <v>1197</v>
      </c>
      <c r="G709" s="2">
        <v>1143.3</v>
      </c>
      <c r="H709" s="2">
        <v>1368535</v>
      </c>
      <c r="I709" s="2">
        <v>889</v>
      </c>
    </row>
    <row r="710" spans="1:9" ht="15.75" customHeight="1">
      <c r="A710" s="2">
        <v>15</v>
      </c>
      <c r="B710" s="2" t="s">
        <v>43</v>
      </c>
      <c r="C710" s="2" t="s">
        <v>10</v>
      </c>
      <c r="D710" s="2" t="s">
        <v>24</v>
      </c>
      <c r="E710" s="2" t="s">
        <v>12</v>
      </c>
      <c r="F710" s="2">
        <v>876</v>
      </c>
      <c r="G710" s="2">
        <v>5180.33</v>
      </c>
      <c r="H710" s="2">
        <v>4537966</v>
      </c>
      <c r="I710" s="2">
        <v>811</v>
      </c>
    </row>
    <row r="711" spans="1:9" ht="15.75" customHeight="1">
      <c r="A711" s="2">
        <v>15</v>
      </c>
      <c r="B711" s="2" t="s">
        <v>43</v>
      </c>
      <c r="C711" s="2" t="s">
        <v>10</v>
      </c>
      <c r="D711" s="2" t="s">
        <v>24</v>
      </c>
      <c r="E711" s="2" t="s">
        <v>13</v>
      </c>
      <c r="F711" s="2">
        <v>150</v>
      </c>
      <c r="G711" s="2">
        <v>22812.84</v>
      </c>
      <c r="H711" s="2">
        <v>3421926</v>
      </c>
      <c r="I711" s="2">
        <v>121</v>
      </c>
    </row>
    <row r="712" spans="1:9" ht="15.75" customHeight="1">
      <c r="A712" s="2">
        <v>15</v>
      </c>
      <c r="B712" s="2" t="s">
        <v>43</v>
      </c>
      <c r="C712" s="2" t="s">
        <v>10</v>
      </c>
      <c r="D712" s="2" t="s">
        <v>24</v>
      </c>
      <c r="E712" s="2" t="s">
        <v>14</v>
      </c>
      <c r="F712" s="2">
        <v>274</v>
      </c>
      <c r="G712" s="2">
        <v>7065.15</v>
      </c>
      <c r="H712" s="2">
        <v>1935850</v>
      </c>
      <c r="I712" s="2">
        <v>215</v>
      </c>
    </row>
    <row r="713" spans="1:9" ht="15.75" customHeight="1">
      <c r="A713" s="2">
        <v>15</v>
      </c>
      <c r="B713" s="2" t="s">
        <v>43</v>
      </c>
      <c r="C713" s="2" t="s">
        <v>10</v>
      </c>
      <c r="D713" s="2" t="s">
        <v>24</v>
      </c>
      <c r="E713" s="2" t="s">
        <v>15</v>
      </c>
      <c r="F713" s="2">
        <v>1019</v>
      </c>
      <c r="G713" s="2">
        <v>1352.13</v>
      </c>
      <c r="H713" s="2">
        <v>1377822</v>
      </c>
      <c r="I713" s="2">
        <v>833</v>
      </c>
    </row>
    <row r="714" spans="1:9" ht="15.75" customHeight="1">
      <c r="A714" s="2">
        <v>15</v>
      </c>
      <c r="B714" s="2" t="s">
        <v>43</v>
      </c>
      <c r="C714" s="2" t="s">
        <v>10</v>
      </c>
      <c r="D714" s="2" t="s">
        <v>25</v>
      </c>
      <c r="E714" s="2" t="s">
        <v>12</v>
      </c>
      <c r="F714" s="2">
        <v>888</v>
      </c>
      <c r="G714" s="2">
        <v>5374.49</v>
      </c>
      <c r="H714" s="2">
        <v>4772544</v>
      </c>
      <c r="I714" s="2">
        <v>693</v>
      </c>
    </row>
    <row r="715" spans="1:9" ht="15.75" customHeight="1">
      <c r="A715" s="2">
        <v>15</v>
      </c>
      <c r="B715" s="2" t="s">
        <v>43</v>
      </c>
      <c r="C715" s="2" t="s">
        <v>10</v>
      </c>
      <c r="D715" s="2" t="s">
        <v>25</v>
      </c>
      <c r="E715" s="2" t="s">
        <v>13</v>
      </c>
      <c r="F715" s="2">
        <v>146</v>
      </c>
      <c r="G715" s="2">
        <v>20867.95</v>
      </c>
      <c r="H715" s="2">
        <v>3046720</v>
      </c>
      <c r="I715" s="2">
        <v>108</v>
      </c>
    </row>
    <row r="716" spans="1:9" ht="15.75" customHeight="1">
      <c r="A716" s="2">
        <v>15</v>
      </c>
      <c r="B716" s="2" t="s">
        <v>43</v>
      </c>
      <c r="C716" s="2" t="s">
        <v>10</v>
      </c>
      <c r="D716" s="2" t="s">
        <v>25</v>
      </c>
      <c r="E716" s="2" t="s">
        <v>14</v>
      </c>
      <c r="F716" s="2">
        <v>400</v>
      </c>
      <c r="G716" s="2">
        <v>6960.35</v>
      </c>
      <c r="H716" s="2">
        <v>2784142</v>
      </c>
      <c r="I716" s="2">
        <v>301</v>
      </c>
    </row>
    <row r="717" spans="1:9" ht="15.75" customHeight="1">
      <c r="A717" s="2">
        <v>15</v>
      </c>
      <c r="B717" s="2" t="s">
        <v>43</v>
      </c>
      <c r="C717" s="2" t="s">
        <v>10</v>
      </c>
      <c r="D717" s="2" t="s">
        <v>25</v>
      </c>
      <c r="E717" s="2" t="s">
        <v>15</v>
      </c>
      <c r="F717" s="2">
        <v>542</v>
      </c>
      <c r="G717" s="2">
        <v>1162.19</v>
      </c>
      <c r="H717" s="2">
        <v>629908</v>
      </c>
      <c r="I717" s="2">
        <v>408</v>
      </c>
    </row>
    <row r="718" spans="1:9" ht="15.75" customHeight="1">
      <c r="A718" s="2">
        <v>15</v>
      </c>
      <c r="B718" s="2" t="s">
        <v>43</v>
      </c>
      <c r="C718" s="2" t="s">
        <v>10</v>
      </c>
      <c r="D718" s="2" t="s">
        <v>26</v>
      </c>
      <c r="E718" s="2" t="s">
        <v>12</v>
      </c>
      <c r="F718" s="2">
        <v>826</v>
      </c>
      <c r="G718" s="2">
        <v>5199.37</v>
      </c>
      <c r="H718" s="2">
        <v>4294680</v>
      </c>
      <c r="I718" s="2">
        <v>734</v>
      </c>
    </row>
    <row r="719" spans="1:9" ht="15.75" customHeight="1">
      <c r="A719" s="2">
        <v>15</v>
      </c>
      <c r="B719" s="2" t="s">
        <v>43</v>
      </c>
      <c r="C719" s="2" t="s">
        <v>10</v>
      </c>
      <c r="D719" s="2" t="s">
        <v>26</v>
      </c>
      <c r="E719" s="2" t="s">
        <v>13</v>
      </c>
      <c r="F719" s="2">
        <v>244</v>
      </c>
      <c r="G719" s="2">
        <v>22655.200000000001</v>
      </c>
      <c r="H719" s="2">
        <v>5527868</v>
      </c>
      <c r="I719" s="2">
        <v>217</v>
      </c>
    </row>
    <row r="720" spans="1:9" ht="15.75" customHeight="1">
      <c r="A720" s="2">
        <v>15</v>
      </c>
      <c r="B720" s="2" t="s">
        <v>43</v>
      </c>
      <c r="C720" s="2" t="s">
        <v>10</v>
      </c>
      <c r="D720" s="2" t="s">
        <v>26</v>
      </c>
      <c r="E720" s="2" t="s">
        <v>14</v>
      </c>
      <c r="F720" s="2">
        <v>451</v>
      </c>
      <c r="G720" s="2">
        <v>6336.37</v>
      </c>
      <c r="H720" s="2">
        <v>2857704</v>
      </c>
      <c r="I720" s="2">
        <v>417</v>
      </c>
    </row>
    <row r="721" spans="1:9" ht="15.75" customHeight="1">
      <c r="A721" s="2">
        <v>15</v>
      </c>
      <c r="B721" s="2" t="s">
        <v>43</v>
      </c>
      <c r="C721" s="2" t="s">
        <v>10</v>
      </c>
      <c r="D721" s="2" t="s">
        <v>26</v>
      </c>
      <c r="E721" s="2" t="s">
        <v>15</v>
      </c>
      <c r="F721" s="2">
        <v>650</v>
      </c>
      <c r="G721" s="2">
        <v>1283.42</v>
      </c>
      <c r="H721" s="2">
        <v>834225</v>
      </c>
      <c r="I721" s="2">
        <v>455</v>
      </c>
    </row>
    <row r="722" spans="1:9" ht="15.75" customHeight="1"/>
    <row r="723" spans="1:9" ht="15.75" customHeight="1">
      <c r="G723" s="4"/>
    </row>
    <row r="724" spans="1:9" ht="15.75" customHeight="1">
      <c r="G724" s="4"/>
    </row>
    <row r="725" spans="1:9" ht="15.75" customHeight="1"/>
    <row r="726" spans="1:9" ht="15.75" customHeight="1"/>
    <row r="727" spans="1:9" ht="15.75" customHeight="1"/>
    <row r="728" spans="1:9" ht="15.75" customHeight="1"/>
    <row r="729" spans="1:9" ht="15.75" customHeight="1"/>
    <row r="730" spans="1:9" ht="15.75" customHeight="1"/>
    <row r="731" spans="1:9" ht="15.75" customHeight="1"/>
    <row r="732" spans="1:9" ht="15.75" customHeight="1"/>
    <row r="733" spans="1:9" ht="15.75" customHeight="1"/>
    <row r="734" spans="1:9" ht="15.75" customHeight="1"/>
    <row r="735" spans="1:9" ht="15.75" customHeight="1"/>
    <row r="736" spans="1:9"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09E4A-1D12-4385-A0F3-0AA1652808EA}">
  <dimension ref="A1:M69"/>
  <sheetViews>
    <sheetView topLeftCell="A19" zoomScaleNormal="100" workbookViewId="0">
      <selection activeCell="K38" sqref="K38"/>
    </sheetView>
  </sheetViews>
  <sheetFormatPr defaultRowHeight="14.4"/>
  <cols>
    <col min="1" max="1" width="24.5546875" customWidth="1"/>
    <col min="2" max="2" width="17.109375" customWidth="1"/>
    <col min="3" max="3" width="21.21875" customWidth="1"/>
    <col min="9" max="9" width="16.5546875" customWidth="1"/>
    <col min="10" max="10" width="15.5546875" customWidth="1"/>
    <col min="11" max="11" width="23.109375" customWidth="1"/>
    <col min="12" max="12" width="10.88671875" customWidth="1"/>
  </cols>
  <sheetData>
    <row r="1" spans="1:10" ht="17.399999999999999">
      <c r="A1" s="3"/>
    </row>
    <row r="2" spans="1:10" ht="36.6">
      <c r="B2" s="8" t="s">
        <v>44</v>
      </c>
      <c r="C2" s="7"/>
      <c r="D2" s="7"/>
    </row>
    <row r="4" spans="1:10" ht="23.4">
      <c r="A4" s="18" t="s">
        <v>45</v>
      </c>
      <c r="B4" s="18" t="s">
        <v>66</v>
      </c>
      <c r="C4" s="18" t="s">
        <v>46</v>
      </c>
      <c r="D4" s="13"/>
      <c r="E4" s="13"/>
      <c r="F4" s="13"/>
      <c r="G4" s="13"/>
      <c r="H4" s="13"/>
      <c r="I4" s="13"/>
      <c r="J4" s="13"/>
    </row>
    <row r="5" spans="1:10">
      <c r="A5" s="14"/>
      <c r="B5" s="13"/>
      <c r="C5" s="13"/>
      <c r="D5" s="13"/>
      <c r="E5" s="13"/>
      <c r="F5" s="13"/>
      <c r="G5" s="13"/>
      <c r="H5" s="13"/>
      <c r="I5" s="13"/>
      <c r="J5" s="13"/>
    </row>
    <row r="6" spans="1:10">
      <c r="A6" s="14" t="s">
        <v>47</v>
      </c>
      <c r="B6" s="14" t="s">
        <v>53</v>
      </c>
      <c r="C6" s="14" t="s">
        <v>48</v>
      </c>
      <c r="D6" s="13"/>
      <c r="E6" s="13"/>
      <c r="F6" s="13"/>
      <c r="G6" s="13"/>
      <c r="H6" s="13"/>
      <c r="I6" s="13"/>
      <c r="J6" s="13"/>
    </row>
    <row r="7" spans="1:10">
      <c r="A7" s="14" t="s">
        <v>51</v>
      </c>
      <c r="B7" s="14" t="s">
        <v>52</v>
      </c>
      <c r="C7" s="14" t="s">
        <v>60</v>
      </c>
      <c r="D7" s="13"/>
      <c r="E7" s="13"/>
      <c r="F7" s="13"/>
      <c r="G7" s="13"/>
      <c r="H7" s="13"/>
      <c r="I7" s="13"/>
      <c r="J7" s="13"/>
    </row>
    <row r="8" spans="1:10">
      <c r="A8" s="14" t="s">
        <v>54</v>
      </c>
      <c r="B8" s="14" t="s">
        <v>59</v>
      </c>
      <c r="C8" s="14" t="s">
        <v>61</v>
      </c>
      <c r="D8" s="13"/>
      <c r="E8" s="13"/>
      <c r="F8" s="13"/>
      <c r="G8" s="13"/>
      <c r="H8" s="13"/>
      <c r="I8" s="13"/>
      <c r="J8" s="13"/>
    </row>
    <row r="9" spans="1:10">
      <c r="A9" s="14" t="s">
        <v>56</v>
      </c>
      <c r="B9" s="19">
        <v>2700000000000</v>
      </c>
      <c r="C9" s="14" t="s">
        <v>62</v>
      </c>
      <c r="D9" s="13"/>
      <c r="E9" s="13"/>
      <c r="F9" s="13"/>
      <c r="G9" s="13"/>
      <c r="H9" s="13"/>
      <c r="I9" s="13"/>
      <c r="J9" s="13"/>
    </row>
    <row r="10" spans="1:10">
      <c r="A10" s="14" t="s">
        <v>57</v>
      </c>
      <c r="B10" s="14" t="s">
        <v>58</v>
      </c>
      <c r="C10" s="14" t="s">
        <v>63</v>
      </c>
      <c r="D10" s="13"/>
      <c r="E10" s="13"/>
      <c r="F10" s="13"/>
      <c r="G10" s="13"/>
      <c r="H10" s="13"/>
      <c r="I10" s="13"/>
      <c r="J10" s="13"/>
    </row>
    <row r="11" spans="1:10">
      <c r="A11" s="13"/>
      <c r="B11" s="13"/>
      <c r="C11" s="13"/>
      <c r="D11" s="13"/>
      <c r="E11" s="13"/>
      <c r="F11" s="13"/>
      <c r="G11" s="13"/>
      <c r="H11" s="13"/>
      <c r="I11" s="13"/>
      <c r="J11" s="13"/>
    </row>
    <row r="12" spans="1:10" ht="23.4">
      <c r="B12" s="6" t="s">
        <v>83</v>
      </c>
    </row>
    <row r="14" spans="1:10">
      <c r="A14" s="4" t="s">
        <v>64</v>
      </c>
    </row>
    <row r="15" spans="1:10">
      <c r="A15" s="4"/>
    </row>
    <row r="17" spans="1:13">
      <c r="A17" t="s">
        <v>118</v>
      </c>
    </row>
    <row r="19" spans="1:13" ht="36.6">
      <c r="B19" s="8" t="s">
        <v>65</v>
      </c>
      <c r="C19" s="7"/>
      <c r="D19" s="7"/>
      <c r="E19" s="7"/>
      <c r="F19" s="7"/>
    </row>
    <row r="21" spans="1:13" ht="23.4">
      <c r="A21" s="18" t="s">
        <v>45</v>
      </c>
      <c r="B21" s="18" t="s">
        <v>66</v>
      </c>
      <c r="C21" s="18" t="s">
        <v>46</v>
      </c>
      <c r="D21" s="13"/>
      <c r="E21" s="13"/>
      <c r="F21" s="13"/>
      <c r="G21" s="13"/>
    </row>
    <row r="22" spans="1:13">
      <c r="A22" s="13"/>
      <c r="B22" s="13"/>
      <c r="C22" s="13"/>
      <c r="D22" s="13"/>
      <c r="E22" s="13"/>
      <c r="F22" s="13"/>
      <c r="G22" s="13"/>
    </row>
    <row r="23" spans="1:13">
      <c r="A23" s="14" t="s">
        <v>67</v>
      </c>
      <c r="B23" s="14" t="s">
        <v>73</v>
      </c>
      <c r="C23" s="14" t="s">
        <v>76</v>
      </c>
      <c r="D23" s="13"/>
      <c r="E23" s="13"/>
      <c r="F23" s="13"/>
      <c r="G23" s="13"/>
    </row>
    <row r="24" spans="1:13">
      <c r="A24" s="14" t="s">
        <v>68</v>
      </c>
      <c r="B24" s="14" t="s">
        <v>59</v>
      </c>
      <c r="C24" s="14" t="s">
        <v>77</v>
      </c>
      <c r="D24" s="13"/>
      <c r="E24" s="13"/>
      <c r="F24" s="13"/>
      <c r="G24" s="13"/>
    </row>
    <row r="25" spans="1:13" ht="28.8">
      <c r="A25" s="14" t="s">
        <v>47</v>
      </c>
      <c r="B25" s="14" t="s">
        <v>53</v>
      </c>
      <c r="C25" s="14" t="s">
        <v>78</v>
      </c>
      <c r="D25" s="13"/>
      <c r="E25" s="13"/>
      <c r="F25" s="13"/>
      <c r="G25" s="13"/>
      <c r="I25" s="21" t="s">
        <v>100</v>
      </c>
      <c r="J25" s="21" t="s">
        <v>49</v>
      </c>
      <c r="K25" s="21" t="s">
        <v>101</v>
      </c>
      <c r="L25" s="21" t="s">
        <v>102</v>
      </c>
    </row>
    <row r="26" spans="1:13">
      <c r="A26" s="14" t="s">
        <v>69</v>
      </c>
      <c r="B26" s="14" t="s">
        <v>58</v>
      </c>
      <c r="C26" s="14" t="s">
        <v>79</v>
      </c>
      <c r="D26" s="13"/>
      <c r="E26" s="13"/>
      <c r="F26" s="13"/>
      <c r="G26" s="13"/>
      <c r="I26" s="22" t="s">
        <v>103</v>
      </c>
      <c r="J26" s="20" t="s">
        <v>104</v>
      </c>
      <c r="K26" s="20" t="s">
        <v>105</v>
      </c>
      <c r="L26" s="20" t="s">
        <v>106</v>
      </c>
    </row>
    <row r="27" spans="1:13">
      <c r="A27" s="14" t="s">
        <v>70</v>
      </c>
      <c r="B27" s="14">
        <v>2.23</v>
      </c>
      <c r="C27" s="14" t="s">
        <v>80</v>
      </c>
      <c r="D27" s="13"/>
      <c r="E27" s="13"/>
      <c r="F27" s="13"/>
      <c r="G27" s="13"/>
      <c r="I27" s="22" t="s">
        <v>107</v>
      </c>
      <c r="J27" s="20" t="s">
        <v>108</v>
      </c>
      <c r="K27" s="20" t="s">
        <v>110</v>
      </c>
      <c r="L27" s="20" t="s">
        <v>109</v>
      </c>
    </row>
    <row r="28" spans="1:13" ht="28.8">
      <c r="A28" s="14" t="s">
        <v>71</v>
      </c>
      <c r="B28" s="14" t="s">
        <v>74</v>
      </c>
      <c r="C28" s="20" t="s">
        <v>81</v>
      </c>
      <c r="D28" s="13"/>
      <c r="E28" s="13"/>
      <c r="F28" s="13"/>
      <c r="G28" s="13"/>
      <c r="I28" s="21" t="s">
        <v>100</v>
      </c>
      <c r="J28" s="21" t="s">
        <v>111</v>
      </c>
      <c r="K28" s="21" t="s">
        <v>46</v>
      </c>
      <c r="L28" s="13"/>
    </row>
    <row r="29" spans="1:13" ht="28.8">
      <c r="A29" s="14" t="s">
        <v>72</v>
      </c>
      <c r="B29" s="14" t="s">
        <v>75</v>
      </c>
      <c r="C29" s="14" t="s">
        <v>82</v>
      </c>
      <c r="D29" s="13"/>
      <c r="E29" s="13"/>
      <c r="F29" s="13"/>
      <c r="G29" s="13"/>
      <c r="I29" s="22" t="s">
        <v>112</v>
      </c>
      <c r="J29" s="20" t="s">
        <v>113</v>
      </c>
      <c r="K29" s="20" t="s">
        <v>114</v>
      </c>
      <c r="L29" s="13"/>
    </row>
    <row r="30" spans="1:13" ht="28.8">
      <c r="I30" s="22" t="s">
        <v>115</v>
      </c>
      <c r="J30" s="20" t="s">
        <v>116</v>
      </c>
      <c r="K30" s="20" t="s">
        <v>117</v>
      </c>
      <c r="L30" s="13"/>
    </row>
    <row r="32" spans="1:13" ht="23.4">
      <c r="B32" s="6" t="s">
        <v>83</v>
      </c>
      <c r="M32" s="4" t="s">
        <v>87</v>
      </c>
    </row>
    <row r="33" spans="1:8">
      <c r="A33" s="23" t="s">
        <v>84</v>
      </c>
      <c r="B33" s="24"/>
      <c r="C33" s="24"/>
      <c r="D33" s="24"/>
      <c r="E33" s="24"/>
      <c r="F33" s="24"/>
      <c r="G33" s="24"/>
      <c r="H33" s="24"/>
    </row>
    <row r="34" spans="1:8">
      <c r="A34" s="23" t="s">
        <v>85</v>
      </c>
      <c r="B34" s="24"/>
      <c r="C34" s="24"/>
      <c r="D34" s="24"/>
      <c r="E34" s="24"/>
      <c r="F34" s="24"/>
      <c r="G34" s="24"/>
      <c r="H34" s="24"/>
    </row>
    <row r="35" spans="1:8">
      <c r="A35" s="23" t="s">
        <v>86</v>
      </c>
      <c r="B35" s="24"/>
      <c r="C35" s="24"/>
      <c r="D35" s="24"/>
      <c r="E35" s="24"/>
      <c r="F35" s="24"/>
      <c r="G35" s="24"/>
      <c r="H35" s="24"/>
    </row>
    <row r="37" spans="1:8" ht="18">
      <c r="A37" s="5" t="s">
        <v>88</v>
      </c>
    </row>
    <row r="38" spans="1:8" ht="100.8">
      <c r="A38" s="9" t="s">
        <v>89</v>
      </c>
      <c r="B38" s="9" t="s">
        <v>90</v>
      </c>
      <c r="C38" s="9" t="s">
        <v>91</v>
      </c>
    </row>
    <row r="41" spans="1:8" ht="18">
      <c r="A41" s="5" t="s">
        <v>92</v>
      </c>
    </row>
    <row r="42" spans="1:8">
      <c r="A42" s="4" t="s">
        <v>93</v>
      </c>
    </row>
    <row r="43" spans="1:8">
      <c r="A43" s="4" t="s">
        <v>94</v>
      </c>
    </row>
    <row r="44" spans="1:8">
      <c r="A44" s="4" t="s">
        <v>95</v>
      </c>
    </row>
    <row r="46" spans="1:8" ht="18">
      <c r="A46" s="5" t="s">
        <v>96</v>
      </c>
    </row>
    <row r="47" spans="1:8">
      <c r="A47" s="4" t="s">
        <v>97</v>
      </c>
    </row>
    <row r="48" spans="1:8">
      <c r="A48" s="4" t="s">
        <v>98</v>
      </c>
    </row>
    <row r="49" spans="1:2">
      <c r="A49" s="4" t="s">
        <v>99</v>
      </c>
    </row>
    <row r="53" spans="1:2" ht="36.6">
      <c r="B53" s="8" t="s">
        <v>125</v>
      </c>
    </row>
    <row r="56" spans="1:2" ht="21">
      <c r="A56" s="16" t="s">
        <v>126</v>
      </c>
    </row>
    <row r="58" spans="1:2">
      <c r="A58" s="15" t="s">
        <v>127</v>
      </c>
    </row>
    <row r="59" spans="1:2">
      <c r="A59" s="15" t="s">
        <v>128</v>
      </c>
    </row>
    <row r="60" spans="1:2">
      <c r="A60" s="15" t="s">
        <v>129</v>
      </c>
    </row>
    <row r="63" spans="1:2" ht="23.4">
      <c r="A63" s="17" t="s">
        <v>130</v>
      </c>
    </row>
    <row r="65" spans="1:1">
      <c r="A65" s="15" t="s">
        <v>131</v>
      </c>
    </row>
    <row r="67" spans="1:1">
      <c r="A67" s="15" t="s">
        <v>132</v>
      </c>
    </row>
    <row r="68" spans="1:1">
      <c r="A68" s="15"/>
    </row>
    <row r="69" spans="1:1">
      <c r="A69" s="15" t="s">
        <v>133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CDD13-4BCD-4292-B995-3537BEB6A0B8}">
  <dimension ref="A3:G21"/>
  <sheetViews>
    <sheetView workbookViewId="0">
      <selection activeCell="A3" sqref="A3"/>
    </sheetView>
  </sheetViews>
  <sheetFormatPr defaultRowHeight="14.4"/>
  <cols>
    <col min="1" max="1" width="23.21875" bestFit="1" customWidth="1"/>
    <col min="2" max="2" width="15.5546875" bestFit="1" customWidth="1"/>
    <col min="3" max="3" width="12" bestFit="1" customWidth="1"/>
    <col min="4" max="4" width="12.21875" bestFit="1" customWidth="1"/>
    <col min="5" max="5" width="12" bestFit="1" customWidth="1"/>
    <col min="6" max="6" width="7" bestFit="1" customWidth="1"/>
    <col min="7" max="7" width="12" bestFit="1" customWidth="1"/>
  </cols>
  <sheetData>
    <row r="3" spans="1:7">
      <c r="A3" s="10" t="s">
        <v>124</v>
      </c>
      <c r="B3" s="10" t="s">
        <v>122</v>
      </c>
    </row>
    <row r="4" spans="1:7">
      <c r="A4" s="10" t="s">
        <v>119</v>
      </c>
      <c r="B4" t="s">
        <v>15</v>
      </c>
      <c r="C4" t="s">
        <v>13</v>
      </c>
      <c r="D4" t="s">
        <v>12</v>
      </c>
      <c r="E4" t="s">
        <v>14</v>
      </c>
      <c r="F4" t="s">
        <v>121</v>
      </c>
      <c r="G4" t="s">
        <v>120</v>
      </c>
    </row>
    <row r="5" spans="1:7">
      <c r="A5" s="11" t="s">
        <v>9</v>
      </c>
      <c r="B5">
        <v>1082260.75</v>
      </c>
      <c r="C5">
        <v>3540715.1666666665</v>
      </c>
      <c r="D5">
        <v>5215629.75</v>
      </c>
      <c r="E5">
        <v>2255646.9166666665</v>
      </c>
      <c r="G5">
        <v>3023563.1458333335</v>
      </c>
    </row>
    <row r="6" spans="1:7">
      <c r="A6" s="11" t="s">
        <v>38</v>
      </c>
      <c r="B6">
        <v>961114</v>
      </c>
      <c r="C6">
        <v>3698216.5</v>
      </c>
      <c r="D6">
        <v>5251232.416666667</v>
      </c>
      <c r="E6">
        <v>2411074.8333333335</v>
      </c>
      <c r="G6">
        <v>3080409.4375</v>
      </c>
    </row>
    <row r="7" spans="1:7">
      <c r="A7" s="11" t="s">
        <v>39</v>
      </c>
      <c r="B7">
        <v>946907.91666666663</v>
      </c>
      <c r="C7">
        <v>3488894.75</v>
      </c>
      <c r="D7">
        <v>5016389.666666667</v>
      </c>
      <c r="E7">
        <v>2221088.1666666665</v>
      </c>
      <c r="G7">
        <v>2918320.125</v>
      </c>
    </row>
    <row r="8" spans="1:7">
      <c r="A8" s="11" t="s">
        <v>40</v>
      </c>
      <c r="B8">
        <v>949936.58333333337</v>
      </c>
      <c r="C8">
        <v>3696155.5833333335</v>
      </c>
      <c r="D8">
        <v>4568670.583333333</v>
      </c>
      <c r="E8">
        <v>2536296</v>
      </c>
      <c r="G8">
        <v>2937764.6875</v>
      </c>
    </row>
    <row r="9" spans="1:7">
      <c r="A9" s="11" t="s">
        <v>41</v>
      </c>
      <c r="B9">
        <v>871814.16666666663</v>
      </c>
      <c r="C9">
        <v>3806639.0833333335</v>
      </c>
      <c r="D9">
        <v>4875289.25</v>
      </c>
      <c r="E9">
        <v>2350933.25</v>
      </c>
      <c r="G9">
        <v>2976168.9375</v>
      </c>
    </row>
    <row r="10" spans="1:7">
      <c r="A10" s="11" t="s">
        <v>42</v>
      </c>
      <c r="B10">
        <v>975459.66666666663</v>
      </c>
      <c r="C10">
        <v>3625116.9166666665</v>
      </c>
      <c r="D10">
        <v>4959559.083333333</v>
      </c>
      <c r="E10">
        <v>2321654.4166666665</v>
      </c>
      <c r="G10">
        <v>2970447.5208333335</v>
      </c>
    </row>
    <row r="11" spans="1:7">
      <c r="A11" s="11" t="s">
        <v>43</v>
      </c>
      <c r="B11">
        <v>949163.33333333337</v>
      </c>
      <c r="C11">
        <v>3791801.8333333335</v>
      </c>
      <c r="D11">
        <v>4847940.333333333</v>
      </c>
      <c r="E11">
        <v>2183686.1666666665</v>
      </c>
      <c r="G11">
        <v>2943147.9166666665</v>
      </c>
    </row>
    <row r="12" spans="1:7">
      <c r="A12" s="11" t="s">
        <v>27</v>
      </c>
      <c r="B12">
        <v>923926.75</v>
      </c>
      <c r="C12">
        <v>3661270.0833333335</v>
      </c>
      <c r="D12">
        <v>4493346.5</v>
      </c>
      <c r="E12">
        <v>2135907.0833333335</v>
      </c>
      <c r="G12">
        <v>2803612.6041666665</v>
      </c>
    </row>
    <row r="13" spans="1:7">
      <c r="A13" s="11" t="s">
        <v>29</v>
      </c>
      <c r="B13">
        <v>1030220.5</v>
      </c>
      <c r="C13">
        <v>3497947.9166666665</v>
      </c>
      <c r="D13">
        <v>4650337</v>
      </c>
      <c r="E13">
        <v>2528814.6666666665</v>
      </c>
      <c r="G13">
        <v>2926830.0208333335</v>
      </c>
    </row>
    <row r="14" spans="1:7">
      <c r="A14" s="11" t="s">
        <v>31</v>
      </c>
      <c r="B14">
        <v>901193.83333333337</v>
      </c>
      <c r="C14">
        <v>4165994.8333333335</v>
      </c>
      <c r="D14">
        <v>4668974.25</v>
      </c>
      <c r="E14">
        <v>2452811.9166666665</v>
      </c>
      <c r="G14">
        <v>3047243.7083333335</v>
      </c>
    </row>
    <row r="15" spans="1:7">
      <c r="A15" s="11" t="s">
        <v>32</v>
      </c>
      <c r="B15">
        <v>1102188</v>
      </c>
      <c r="C15">
        <v>3912320.8333333335</v>
      </c>
      <c r="D15">
        <v>4992029.583333333</v>
      </c>
      <c r="E15">
        <v>2092202.1666666667</v>
      </c>
      <c r="G15">
        <v>3024685.1458333335</v>
      </c>
    </row>
    <row r="16" spans="1:7">
      <c r="A16" s="11" t="s">
        <v>33</v>
      </c>
      <c r="B16">
        <v>864628.75</v>
      </c>
      <c r="C16">
        <v>3520288.0833333335</v>
      </c>
      <c r="D16">
        <v>4744192.083333333</v>
      </c>
      <c r="E16">
        <v>2387211</v>
      </c>
      <c r="G16">
        <v>2879079.9791666665</v>
      </c>
    </row>
    <row r="17" spans="1:7">
      <c r="A17" s="11" t="s">
        <v>35</v>
      </c>
      <c r="B17">
        <v>771126.25</v>
      </c>
      <c r="C17">
        <v>3591549.75</v>
      </c>
      <c r="D17">
        <v>4741302.166666667</v>
      </c>
      <c r="E17">
        <v>2142985.4166666665</v>
      </c>
      <c r="G17">
        <v>2811740.8958333335</v>
      </c>
    </row>
    <row r="18" spans="1:7">
      <c r="A18" s="11" t="s">
        <v>36</v>
      </c>
      <c r="B18">
        <v>837870.08333333337</v>
      </c>
      <c r="C18">
        <v>3855861.75</v>
      </c>
      <c r="D18">
        <v>4402257.416666667</v>
      </c>
      <c r="E18">
        <v>2243932.9166666665</v>
      </c>
      <c r="G18">
        <v>2834980.5416666665</v>
      </c>
    </row>
    <row r="19" spans="1:7">
      <c r="A19" s="11" t="s">
        <v>37</v>
      </c>
      <c r="B19">
        <v>886660.08333333337</v>
      </c>
      <c r="C19">
        <v>3861726.3333333335</v>
      </c>
      <c r="D19">
        <v>4732239.333333333</v>
      </c>
      <c r="E19">
        <v>2524429.5833333335</v>
      </c>
      <c r="G19">
        <v>3001263.8333333335</v>
      </c>
    </row>
    <row r="20" spans="1:7">
      <c r="A20" s="11" t="s">
        <v>121</v>
      </c>
    </row>
    <row r="21" spans="1:7">
      <c r="A21" s="11" t="s">
        <v>120</v>
      </c>
      <c r="B21">
        <v>936964.7111111111</v>
      </c>
      <c r="C21">
        <v>3714299.9611111111</v>
      </c>
      <c r="D21">
        <v>4810625.9611111116</v>
      </c>
      <c r="E21">
        <v>2319244.9666666668</v>
      </c>
      <c r="G21">
        <v>2945283.9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DAFDA-CD93-43A6-9AD0-83BE48988A47}">
  <dimension ref="A3:B17"/>
  <sheetViews>
    <sheetView workbookViewId="0">
      <selection activeCell="A3" sqref="A3"/>
    </sheetView>
  </sheetViews>
  <sheetFormatPr defaultRowHeight="14.4"/>
  <cols>
    <col min="1" max="1" width="12.5546875" bestFit="1" customWidth="1"/>
    <col min="2" max="2" width="20" bestFit="1" customWidth="1"/>
  </cols>
  <sheetData>
    <row r="3" spans="1:2">
      <c r="A3" s="10" t="s">
        <v>119</v>
      </c>
      <c r="B3" t="s">
        <v>123</v>
      </c>
    </row>
    <row r="4" spans="1:2">
      <c r="A4" s="11" t="s">
        <v>11</v>
      </c>
      <c r="B4">
        <v>183949364</v>
      </c>
    </row>
    <row r="5" spans="1:2">
      <c r="A5" s="11" t="s">
        <v>16</v>
      </c>
      <c r="B5">
        <v>173656932</v>
      </c>
    </row>
    <row r="6" spans="1:2">
      <c r="A6" s="11" t="s">
        <v>17</v>
      </c>
      <c r="B6">
        <v>174414681</v>
      </c>
    </row>
    <row r="7" spans="1:2">
      <c r="A7" s="11" t="s">
        <v>18</v>
      </c>
      <c r="B7">
        <v>181132506</v>
      </c>
    </row>
    <row r="8" spans="1:2">
      <c r="A8" s="11" t="s">
        <v>19</v>
      </c>
      <c r="B8">
        <v>184820034</v>
      </c>
    </row>
    <row r="9" spans="1:2">
      <c r="A9" s="11" t="s">
        <v>20</v>
      </c>
      <c r="B9">
        <v>168625685</v>
      </c>
    </row>
    <row r="10" spans="1:2">
      <c r="A10" s="11" t="s">
        <v>21</v>
      </c>
      <c r="B10">
        <v>169657160</v>
      </c>
    </row>
    <row r="11" spans="1:2">
      <c r="A11" s="11" t="s">
        <v>22</v>
      </c>
      <c r="B11">
        <v>170892273</v>
      </c>
    </row>
    <row r="12" spans="1:2">
      <c r="A12" s="11" t="s">
        <v>23</v>
      </c>
      <c r="B12">
        <v>188623288</v>
      </c>
    </row>
    <row r="13" spans="1:2">
      <c r="A13" s="11" t="s">
        <v>24</v>
      </c>
      <c r="B13">
        <v>172122980</v>
      </c>
    </row>
    <row r="14" spans="1:2">
      <c r="A14" s="11" t="s">
        <v>25</v>
      </c>
      <c r="B14">
        <v>173694600</v>
      </c>
    </row>
    <row r="15" spans="1:2">
      <c r="A15" s="11" t="s">
        <v>26</v>
      </c>
      <c r="B15">
        <v>179014905</v>
      </c>
    </row>
    <row r="16" spans="1:2">
      <c r="A16" s="11" t="s">
        <v>121</v>
      </c>
    </row>
    <row r="17" spans="1:2">
      <c r="A17" s="11" t="s">
        <v>120</v>
      </c>
      <c r="B17">
        <v>2120604408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8CDD6C2-3C67-43C5-A323-105B9587931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Calculation</vt:lpstr>
      <vt:lpstr>Pivot Table 1</vt:lpstr>
      <vt:lpstr>Pivot Table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Abhyuday Mishra</dc:creator>
  <cp:lastModifiedBy>Abhyuday Mishra</cp:lastModifiedBy>
  <dcterms:created xsi:type="dcterms:W3CDTF">2025-10-24T11:30:24Z</dcterms:created>
  <dcterms:modified xsi:type="dcterms:W3CDTF">2025-10-25T17:37:58Z</dcterms:modified>
</cp:coreProperties>
</file>