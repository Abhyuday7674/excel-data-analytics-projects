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d0405d17424a08e3/Desktop/BITSM/Graded Assignmrnt 1A/"/>
    </mc:Choice>
  </mc:AlternateContent>
  <xr:revisionPtr revIDLastSave="42" documentId="8_{DEF325ED-D8E9-42B0-83B1-774D623B8FF1}" xr6:coauthVersionLast="47" xr6:coauthVersionMax="47" xr10:uidLastSave="{0DB58E73-79A0-4887-B3E8-DAE2333A3525}"/>
  <bookViews>
    <workbookView xWindow="-108" yWindow="-108" windowWidth="23256" windowHeight="12456" firstSheet="2" activeTab="4" xr2:uid="{00000000-000D-0000-FFFF-FFFF00000000}"/>
  </bookViews>
  <sheets>
    <sheet name="Sheet1" sheetId="1" r:id="rId1"/>
    <sheet name="Monthly Revenue" sheetId="7" r:id="rId2"/>
    <sheet name="Sales by City" sheetId="8" r:id="rId3"/>
    <sheet name="Sales by Product Category" sheetId="9" r:id="rId4"/>
    <sheet name="Part -A Dashbook sheet" sheetId="11" r:id="rId5"/>
    <sheet name="PART - B" sheetId="12" r:id="rId6"/>
    <sheet name="Part-C Scenario Planning." sheetId="13" r:id="rId7"/>
  </sheets>
  <definedNames>
    <definedName name="_xlnm._FilterDatabase" localSheetId="0" hidden="1">Sheet1!$A$1:$G$201</definedName>
    <definedName name="Slicer_Month">#N/A</definedName>
    <definedName name="Slicer_Product_Categor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C26" i="11"/>
  <c r="J3" i="12"/>
  <c r="J4" i="12"/>
  <c r="J5" i="12"/>
  <c r="J6" i="12"/>
  <c r="J7" i="12"/>
  <c r="J8" i="12"/>
  <c r="J9" i="12"/>
  <c r="J10" i="12"/>
  <c r="J11" i="12"/>
  <c r="J12" i="12"/>
  <c r="J13" i="12"/>
  <c r="J14" i="12"/>
  <c r="J15" i="12"/>
  <c r="J16" i="12"/>
  <c r="J17" i="12"/>
  <c r="J18" i="12"/>
  <c r="J2" i="12"/>
  <c r="B25" i="12"/>
  <c r="I6" i="12"/>
  <c r="K6" i="12" s="1"/>
  <c r="I7" i="12"/>
  <c r="K7" i="12" s="1"/>
  <c r="I8" i="12"/>
  <c r="K8" i="12" s="1"/>
  <c r="I10" i="12"/>
  <c r="K10" i="12" s="1"/>
  <c r="H9" i="12"/>
  <c r="I9" i="12" s="1"/>
  <c r="K9" i="12" s="1"/>
  <c r="H3" i="12"/>
  <c r="I3" i="12" s="1"/>
  <c r="K3" i="12" s="1"/>
  <c r="H4" i="12"/>
  <c r="I4" i="12" s="1"/>
  <c r="K4" i="12" s="1"/>
  <c r="H5" i="12"/>
  <c r="I5" i="12" s="1"/>
  <c r="K5" i="12" s="1"/>
  <c r="H6" i="12"/>
  <c r="H7" i="12"/>
  <c r="H8" i="12"/>
  <c r="H10" i="12"/>
  <c r="H11" i="12"/>
  <c r="I11" i="12" s="1"/>
  <c r="K11" i="12" s="1"/>
  <c r="H12" i="12"/>
  <c r="I12" i="12" s="1"/>
  <c r="K12" i="12" s="1"/>
  <c r="H13" i="12"/>
  <c r="I13" i="12" s="1"/>
  <c r="K13" i="12" s="1"/>
  <c r="H14" i="12"/>
  <c r="I14" i="12" s="1"/>
  <c r="K14" i="12" s="1"/>
  <c r="H15" i="12"/>
  <c r="I15" i="12" s="1"/>
  <c r="K15" i="12" s="1"/>
  <c r="H16" i="12"/>
  <c r="I16" i="12" s="1"/>
  <c r="K16" i="12" s="1"/>
  <c r="H17" i="12"/>
  <c r="I17" i="12" s="1"/>
  <c r="K17" i="12" s="1"/>
  <c r="H18" i="12"/>
  <c r="I18" i="12" s="1"/>
  <c r="K18" i="12" s="1"/>
  <c r="H2" i="12"/>
  <c r="I2" i="12" s="1"/>
  <c r="N5" i="1"/>
  <c r="N9" i="1"/>
  <c r="C29" i="11" a="1"/>
  <c r="C29" i="11" s="1"/>
  <c r="N6" i="1"/>
  <c r="C28" i="11"/>
  <c r="K3" i="1"/>
  <c r="K4" i="1"/>
  <c r="K5" i="1"/>
  <c r="K6" i="1"/>
  <c r="K7" i="1"/>
  <c r="K8" i="1"/>
  <c r="K9" i="1"/>
  <c r="K10" i="1"/>
  <c r="K11" i="1"/>
  <c r="K12" i="1"/>
  <c r="K13" i="1"/>
  <c r="K997" i="1"/>
  <c r="K998" i="1"/>
  <c r="K999" i="1"/>
  <c r="K1000"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997" i="1"/>
  <c r="I998" i="1"/>
  <c r="I999" i="1"/>
  <c r="I1000" i="1"/>
  <c r="I2" i="1"/>
  <c r="N7" i="1"/>
  <c r="B26" i="12" l="1"/>
  <c r="C25" i="12"/>
  <c r="D25" i="12" s="1"/>
  <c r="K2" i="12"/>
  <c r="C26" i="12" s="1"/>
  <c r="N10" i="1"/>
  <c r="D26" i="12"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<sst xmlns="http://schemas.openxmlformats.org/spreadsheetml/2006/main" count="811" uniqueCount="118">
  <si>
    <t>City</t>
  </si>
  <si>
    <t>Month</t>
  </si>
  <si>
    <t>Product_Category</t>
  </si>
  <si>
    <t>Units_Sold</t>
  </si>
  <si>
    <t>Unit_Price</t>
  </si>
  <si>
    <t>Total_Sales</t>
  </si>
  <si>
    <t>Customer_Count</t>
  </si>
  <si>
    <t>Hyderabad</t>
  </si>
  <si>
    <t>Apr</t>
  </si>
  <si>
    <t>Smartphones</t>
  </si>
  <si>
    <t>Bangalore</t>
  </si>
  <si>
    <t>Jul</t>
  </si>
  <si>
    <t>Tablets</t>
  </si>
  <si>
    <t>Ahmedabad</t>
  </si>
  <si>
    <t>Aug</t>
  </si>
  <si>
    <t>Delhi</t>
  </si>
  <si>
    <t>Dec</t>
  </si>
  <si>
    <t>Kolkata</t>
  </si>
  <si>
    <t>May</t>
  </si>
  <si>
    <t>Chennai</t>
  </si>
  <si>
    <t>Mumbai</t>
  </si>
  <si>
    <t>Laptops</t>
  </si>
  <si>
    <t>Jun</t>
  </si>
  <si>
    <t>Oct</t>
  </si>
  <si>
    <t>Surat</t>
  </si>
  <si>
    <t>Sep</t>
  </si>
  <si>
    <t>Pune</t>
  </si>
  <si>
    <t>Accessories</t>
  </si>
  <si>
    <t>Mar</t>
  </si>
  <si>
    <t>Nov</t>
  </si>
  <si>
    <t>Jaipur</t>
  </si>
  <si>
    <t>Jan</t>
  </si>
  <si>
    <t>Feb</t>
  </si>
  <si>
    <t>Row Labels</t>
  </si>
  <si>
    <t>Grand Total</t>
  </si>
  <si>
    <t>Sum of Total_Sales</t>
  </si>
  <si>
    <t>(blank)</t>
  </si>
  <si>
    <t>KPI</t>
  </si>
  <si>
    <t>Total Revenue</t>
  </si>
  <si>
    <t>Total Units Sold</t>
  </si>
  <si>
    <t>Average Order Value</t>
  </si>
  <si>
    <t>Formula Example</t>
  </si>
  <si>
    <t>Monthly Revenue</t>
  </si>
  <si>
    <t>Average Price per Product</t>
  </si>
  <si>
    <t>Customer Conversion Rate</t>
  </si>
  <si>
    <t>total customer</t>
  </si>
  <si>
    <t>total units sold</t>
  </si>
  <si>
    <t xml:space="preserve">Months Name </t>
  </si>
  <si>
    <t>Pivot Chart — Monthly Sales Trend</t>
  </si>
  <si>
    <t>Pivot Chart — Product Category</t>
  </si>
  <si>
    <t xml:space="preserve">           Pivot Chart — City-wise Sales</t>
  </si>
  <si>
    <t>Description</t>
  </si>
  <si>
    <t>KPI Summary Table with formulas</t>
  </si>
  <si>
    <t xml:space="preserve"> Formula</t>
  </si>
  <si>
    <t>Total company sales</t>
  </si>
  <si>
    <t>Total quantity</t>
  </si>
  <si>
    <t>Value</t>
  </si>
  <si>
    <t>total revenue</t>
  </si>
  <si>
    <t>Customer spend</t>
  </si>
  <si>
    <t>average conversion rate</t>
  </si>
  <si>
    <t>120-130%</t>
  </si>
  <si>
    <t xml:space="preserve"> Final Dashboard Shows</t>
  </si>
  <si>
    <t>Best Month</t>
  </si>
  <si>
    <t>Top City</t>
  </si>
  <si>
    <t>Best Product</t>
  </si>
  <si>
    <t>Average Conversion Rate:</t>
  </si>
  <si>
    <t>Smarthphone</t>
  </si>
  <si>
    <t>new price</t>
  </si>
  <si>
    <t>Total Sales Revenue</t>
  </si>
  <si>
    <t>New_Total_Sales</t>
  </si>
  <si>
    <t>Contribution Margin</t>
  </si>
  <si>
    <t>Metrics</t>
  </si>
  <si>
    <t>Current</t>
  </si>
  <si>
    <t>Discounted(New)</t>
  </si>
  <si>
    <t>Impact</t>
  </si>
  <si>
    <t>Old total sales OF CM</t>
  </si>
  <si>
    <t>New total sales Of CM</t>
  </si>
  <si>
    <t>Assumptions:</t>
  </si>
  <si>
    <t>Results:</t>
  </si>
  <si>
    <t>* In March, June, and September, the 10% discount is only available on smartphones.</t>
  </si>
  <si>
    <t>* The sales volume doesn't change; only the price does.</t>
  </si>
  <si>
    <t>* The contribution margin is 30% as 70% of sales are attributable to the cost of products sold.</t>
  </si>
  <si>
    <t>* Total sales revenue is somewhat reduced by the discount since the unit price dropped.</t>
  </si>
  <si>
    <t>* The contribution margin likewise shows a reduction of about 30% in sales.</t>
  </si>
  <si>
    <t>* This analysis illustrates the financial trade-off of price lowering.</t>
  </si>
  <si>
    <t>Summary Table</t>
  </si>
  <si>
    <t>Planning for Expansion Scenarios: Projected Total Sales Revenue</t>
  </si>
  <si>
    <t>The following lists the definitions and projected total sales revenue for each of the three scenarios based on the provided data.</t>
  </si>
  <si>
    <t>In this scenario, all functioning cities meet volume and pricing targets, simulating a robust market expansion.</t>
  </si>
  <si>
    <t>Part C: Scenario Planning for Expansion</t>
  </si>
  <si>
    <t>Factor</t>
  </si>
  <si>
    <t>Multiplier</t>
  </si>
  <si>
    <t xml:space="preserve">Change </t>
  </si>
  <si>
    <t>Sales Volume</t>
  </si>
  <si>
    <t>Unit Price</t>
  </si>
  <si>
    <t>Calculation:</t>
  </si>
  <si>
    <t>636065396 * (1+ 0.20 )  *  ( 1 + 0.05 )</t>
  </si>
  <si>
    <t>636065396 * 1.20 * 1.05  =  801442399</t>
  </si>
  <si>
    <t>Projected Total Sales Revenue = 801442399</t>
  </si>
  <si>
    <t>1.Growth Scenario:-</t>
  </si>
  <si>
    <t>Cost</t>
  </si>
  <si>
    <t>2. Conservative Scenario:-</t>
  </si>
  <si>
    <t>This scenario represents a period of stability or cautious management, assuming market conditions remain exactly as they were in the baseline period.</t>
  </si>
  <si>
    <t>Flat (0%)</t>
  </si>
  <si>
    <t>Unchanged (0%)</t>
  </si>
  <si>
    <t>636065396 * 1.00 * 1.00 = 636065396</t>
  </si>
  <si>
    <t>Projected Total Sales Revenue = 636065396</t>
  </si>
  <si>
    <t>3. Downturn Scenario:-</t>
  </si>
  <si>
    <t>This scenario models a challenging economic environment characterized by decreased demand, price pressure, and rising operating costs.</t>
  </si>
  <si>
    <t>(Affects margin, not revenue)</t>
  </si>
  <si>
    <t>Calculation (Total Sales Revenue):</t>
  </si>
  <si>
    <t xml:space="preserve"> </t>
  </si>
  <si>
    <t>636065396 * (1-0.15 ) * (1 - 0.10 )</t>
  </si>
  <si>
    <t>636065396 * 0.85 * 0.90 = 486050473</t>
  </si>
  <si>
    <t>Projected Total Sales  Revenue = 486050473</t>
  </si>
  <si>
    <t>Sales by City</t>
  </si>
  <si>
    <t>Sales by Product Category</t>
  </si>
  <si>
    <t xml:space="preserve">                                           “FreshKart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</si>
</sst>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scheme val="minor"/>
    </font>
    <font>
      <sz val="11"/>
      <color theme="1"/>
      <name val="Calibri"/>
      <family val="2"/>
      <scheme val="minor"/>
    </font>
    <font>
      <b/>
      <sz val="11"/>
      <color theme="1"/>
      <name val="Calibri"/>
      <family val="2"/>
      <scheme val="minor"/>
    </font>
    <font>
      <sz val="11"/>
      <color theme="1"/>
      <name val="Calibri"/>
      <family val="2"/>
      <scheme val="minor"/>
    </font>
    <font>
      <b/>
      <i/>
      <sz val="11"/>
      <color theme="1"/>
      <name val="Calibri"/>
      <family val="2"/>
      <scheme val="minor"/>
    </font>
    <font>
      <b/>
      <i/>
      <u/>
      <sz val="26"/>
      <color theme="1"/>
      <name val="Calibri"/>
      <family val="2"/>
      <scheme val="minor"/>
    </font>
    <font>
      <sz val="10"/>
      <color theme="1"/>
      <name val="Arial Unicode MS"/>
    </font>
    <font>
      <b/>
      <sz val="14"/>
      <color theme="1"/>
      <name val="Calibri"/>
      <family val="2"/>
      <scheme val="minor"/>
    </font>
    <font>
      <sz val="14"/>
      <color theme="1"/>
      <name val="Calibri"/>
      <family val="2"/>
      <scheme val="minor"/>
    </font>
    <font>
      <sz val="14"/>
      <color theme="1"/>
      <name val="Arial Unicode MS"/>
    </font>
    <font>
      <b/>
      <i/>
      <sz val="26"/>
      <color theme="1"/>
      <name val="Calibri"/>
      <family val="2"/>
      <scheme val="minor"/>
    </font>
    <font>
      <b/>
      <i/>
      <sz val="36"/>
      <color theme="1"/>
      <name val="Calibri"/>
      <family val="2"/>
      <scheme val="minor"/>
    </font>
    <font>
      <b/>
      <sz val="16"/>
      <color theme="1"/>
      <name val="Calibri"/>
      <family val="2"/>
      <scheme val="minor"/>
    </font>
    <font>
      <b/>
      <sz val="20"/>
      <color theme="1"/>
      <name val="Calibri"/>
      <family val="2"/>
      <scheme val="minor"/>
    </font>
    <font>
      <b/>
      <sz val="22"/>
      <color theme="1"/>
      <name val="Calibri"/>
      <family val="2"/>
      <scheme val="minor"/>
    </font>
    <font>
      <b/>
      <sz val="18"/>
      <color theme="1"/>
      <name val="Calibri"/>
      <family val="2"/>
      <scheme val="minor"/>
    </font>
    <font>
      <b/>
      <sz val="22"/>
      <color rgb="FF0070C0"/>
      <name val="Calibri"/>
      <family val="2"/>
      <scheme val="minor"/>
    </font>
    <font>
      <sz val="10"/>
      <color rgb="FF1B1C1D"/>
      <name val="Arial"/>
      <family val="2"/>
    </font>
    <font>
      <sz val="26"/>
      <color theme="1"/>
      <name val="Calibri"/>
      <family val="2"/>
      <scheme val="minor"/>
    </font>
    <font>
      <sz val="12"/>
      <color theme="1"/>
      <name val="Calibri"/>
      <family val="2"/>
      <scheme val="minor"/>
    </font>
    <font>
      <sz val="16"/>
      <color theme="1"/>
      <name val="Calibri"/>
      <family val="2"/>
      <scheme val="minor"/>
    </font>
    <font>
      <sz val="20"/>
      <color theme="1"/>
      <name val="Calibri"/>
      <family val="2"/>
      <scheme val="minor"/>
    </font>
    <font>
      <sz val="48"/>
      <color theme="1"/>
      <name val="Calibri"/>
      <family val="2"/>
      <scheme val="minor"/>
    </font>
    <font>
      <b/>
      <i/>
      <u/>
      <sz val="48"/>
      <color theme="1"/>
      <name val="Calibri"/>
      <family val="2"/>
      <scheme val="minor"/>
    </font>
    <font>
      <sz val="20"/>
      <color rgb="FF1B1C1D"/>
      <name val="Arial"/>
      <family val="2"/>
    </font>
    <font>
      <b/>
      <u/>
      <sz val="26"/>
      <color theme="1"/>
      <name val="Calibri"/>
      <family val="2"/>
      <scheme val="minor"/>
    </font>
    <font>
      <b/>
      <u/>
      <sz val="28"/>
      <color theme="1"/>
      <name val="Calibri"/>
      <family val="2"/>
      <scheme val="minor"/>
    </font>
  </fonts>
  <fills count="6">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theme="0"/>
        <bgColor indexed="64"/>
      </patternFill>
    </fill>
    <fill>
      <patternFill patternType="solid">
        <fgColor rgb="FFFFFF00"/>
        <bgColor theme="4" tint="0.79998168889431442"/>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style="thin">
        <color theme="4" tint="0.39997558519241921"/>
      </top>
      <bottom/>
      <diagonal/>
    </border>
  </borders>
  <cellStyleXfs count="1">
    <xf numFmtId="0" fontId="0" fillId="0" borderId="0"/>
  </cellStyleXfs>
  <cellXfs count="53">
    <xf numFmtId="0" fontId="0" fillId="0" borderId="0" xfId="0"/>
    <xf numFmtId="0" fontId="2" fillId="0" borderId="1" xfId="0" applyFont="1" applyBorder="1" applyAlignment="1">
      <alignment horizontal="center" vertical="top"/>
    </xf>
    <xf numFmtId="0" fontId="3" fillId="0" borderId="0" xfId="0" applyFont="1"/>
    <xf numFmtId="0" fontId="0" fillId="0" borderId="0" xfId="0" pivotButton="1"/>
    <xf numFmtId="0" fontId="0" fillId="0" borderId="0" xfId="0" applyAlignment="1">
      <alignment horizontal="left"/>
    </xf>
    <xf numFmtId="0" fontId="1" fillId="0" borderId="0" xfId="0" applyFont="1"/>
    <xf numFmtId="0" fontId="2" fillId="0" borderId="0" xfId="0" applyFont="1" applyAlignment="1">
      <alignment horizontal="center" vertical="center" wrapText="1"/>
    </xf>
    <xf numFmtId="0" fontId="2" fillId="0" borderId="0" xfId="0" applyFont="1" applyAlignment="1">
      <alignment vertical="center" wrapText="1"/>
    </xf>
    <xf numFmtId="0" fontId="6" fillId="0" borderId="0" xfId="0" applyFont="1" applyAlignment="1">
      <alignment vertical="center" wrapText="1"/>
    </xf>
    <xf numFmtId="0" fontId="2" fillId="0" borderId="0" xfId="0" applyFont="1" applyAlignment="1">
      <alignment horizontal="center" vertical="top"/>
    </xf>
    <xf numFmtId="0" fontId="4" fillId="0" borderId="0" xfId="0" applyFont="1"/>
    <xf numFmtId="0" fontId="11" fillId="0" borderId="0" xfId="0" applyFont="1"/>
    <xf numFmtId="0" fontId="15" fillId="0" borderId="0" xfId="0" applyFont="1"/>
    <xf numFmtId="0" fontId="2" fillId="0" borderId="0" xfId="0" applyFont="1"/>
    <xf numFmtId="0" fontId="7" fillId="0" borderId="0" xfId="0" applyFont="1"/>
    <xf numFmtId="0" fontId="14" fillId="0" borderId="0" xfId="0" applyFont="1"/>
    <xf numFmtId="0" fontId="8" fillId="2" borderId="0" xfId="0" applyFont="1" applyFill="1"/>
    <xf numFmtId="0" fontId="16" fillId="0" borderId="0" xfId="0" applyFont="1"/>
    <xf numFmtId="0" fontId="17" fillId="0" borderId="0" xfId="0" applyFont="1"/>
    <xf numFmtId="0" fontId="12" fillId="3" borderId="0" xfId="0" applyFont="1" applyFill="1"/>
    <xf numFmtId="0" fontId="1" fillId="3" borderId="0" xfId="0" applyFont="1" applyFill="1"/>
    <xf numFmtId="0" fontId="0" fillId="3" borderId="0" xfId="0" applyFill="1"/>
    <xf numFmtId="0" fontId="2" fillId="3" borderId="0" xfId="0" applyFont="1" applyFill="1" applyAlignment="1">
      <alignment horizontal="center" vertical="center" wrapText="1"/>
    </xf>
    <xf numFmtId="0" fontId="2" fillId="3" borderId="0" xfId="0" applyFont="1" applyFill="1"/>
    <xf numFmtId="0" fontId="15" fillId="3" borderId="0" xfId="0" applyFont="1" applyFill="1"/>
    <xf numFmtId="0" fontId="18" fillId="0" borderId="0" xfId="0" applyFont="1"/>
    <xf numFmtId="0" fontId="5" fillId="0" borderId="0" xfId="0" applyFont="1"/>
    <xf numFmtId="0" fontId="0" fillId="4" borderId="0" xfId="0" applyFill="1"/>
    <xf numFmtId="0" fontId="23" fillId="0" borderId="0" xfId="0" applyFont="1"/>
    <xf numFmtId="0" fontId="2" fillId="3" borderId="0" xfId="0" applyFont="1" applyFill="1" applyAlignment="1">
      <alignment vertical="center" wrapText="1"/>
    </xf>
    <xf numFmtId="0" fontId="4" fillId="3" borderId="0" xfId="0" applyFont="1" applyFill="1" applyAlignment="1">
      <alignment vertical="center" wrapText="1"/>
    </xf>
    <xf numFmtId="0" fontId="4" fillId="3" borderId="0" xfId="0" applyFont="1" applyFill="1"/>
    <xf numFmtId="0" fontId="0" fillId="3" borderId="0" xfId="0" applyFill="1" applyAlignment="1">
      <alignment horizontal="left"/>
    </xf>
    <xf numFmtId="0" fontId="7" fillId="3" borderId="0" xfId="0" applyFont="1" applyFill="1" applyAlignment="1">
      <alignment horizontal="center" vertical="center" wrapText="1"/>
    </xf>
    <xf numFmtId="0" fontId="7" fillId="3" borderId="0" xfId="0" applyFont="1" applyFill="1" applyAlignment="1">
      <alignment vertical="center" wrapText="1"/>
    </xf>
    <xf numFmtId="0" fontId="8" fillId="3" borderId="0" xfId="0" applyFont="1" applyFill="1"/>
    <xf numFmtId="0" fontId="9" fillId="3" borderId="0" xfId="0" applyFont="1" applyFill="1" applyAlignment="1">
      <alignment vertical="center" wrapText="1"/>
    </xf>
    <xf numFmtId="0" fontId="21" fillId="0" borderId="0" xfId="0" applyFont="1"/>
    <xf numFmtId="0" fontId="22" fillId="0" borderId="0" xfId="0" applyFont="1"/>
    <xf numFmtId="0" fontId="20" fillId="3" borderId="0" xfId="0" applyFont="1" applyFill="1"/>
    <xf numFmtId="0" fontId="19" fillId="3" borderId="0" xfId="0" applyFont="1" applyFill="1"/>
    <xf numFmtId="9" fontId="19" fillId="3" borderId="0" xfId="0" applyNumberFormat="1" applyFont="1" applyFill="1"/>
    <xf numFmtId="0" fontId="13" fillId="0" borderId="0" xfId="0" applyFont="1"/>
    <xf numFmtId="0" fontId="24" fillId="0" borderId="0" xfId="0" applyFont="1"/>
    <xf numFmtId="0" fontId="13" fillId="3" borderId="0" xfId="0" applyFont="1" applyFill="1"/>
    <xf numFmtId="0" fontId="24" fillId="0" borderId="0" xfId="0" applyFont="1" applyAlignment="1">
      <alignment vertical="center"/>
    </xf>
    <xf numFmtId="0" fontId="21" fillId="3" borderId="0" xfId="0" applyFont="1" applyFill="1"/>
    <xf numFmtId="0" fontId="10" fillId="3" borderId="0" xfId="0" applyFont="1" applyFill="1"/>
    <xf numFmtId="0" fontId="12" fillId="3" borderId="0" xfId="0" applyFont="1" applyFill="1" applyAlignment="1">
      <alignment horizontal="center" vertical="center" wrapText="1"/>
    </xf>
    <xf numFmtId="0" fontId="7" fillId="3" borderId="0" xfId="0" applyFont="1" applyFill="1"/>
    <xf numFmtId="0" fontId="2" fillId="5" borderId="2" xfId="0" applyFont="1" applyFill="1" applyBorder="1"/>
    <xf numFmtId="0" fontId="25" fillId="0" borderId="0" xfId="0" applyFont="1"/>
    <xf numFmtId="0" fontId="2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[Customer_Segmentation_Dashboard.xlsx.xlsx]Monthly Revenue!PivotTable5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Revenue'!$B$3</c:f>
              <c:strCache>
                <c:ptCount val="1"/>
                <c:pt idx="0">
                  <c:v>Total</c:v>
                </c:pt>
              </c:strCache>
            </c:strRef>
          </c:tx>
          <c:spPr>
            <a:ln w="28575" cap="rnd">
              <a:solidFill>
                <a:schemeClr val="accent1"/>
              </a:solidFill>
              <a:round/>
            </a:ln>
            <a:effectLst/>
          </c:spPr>
          <c:marker>
            <c:symbol val="none"/>
          </c:marker>
          <c:cat>
            <c:strRef>
              <c:f>'Monthly Revenue'!$A$4:$A$17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'Monthly Revenue'!$B$4:$B$17</c:f>
              <c:numCache>
                <c:formatCode>General</c:formatCode>
                <c:ptCount val="13"/>
                <c:pt idx="0">
                  <c:v>41857858</c:v>
                </c:pt>
                <c:pt idx="1">
                  <c:v>55905036</c:v>
                </c:pt>
                <c:pt idx="2">
                  <c:v>45259129</c:v>
                </c:pt>
                <c:pt idx="3">
                  <c:v>63959180</c:v>
                </c:pt>
                <c:pt idx="4">
                  <c:v>57749181</c:v>
                </c:pt>
                <c:pt idx="5">
                  <c:v>68413072</c:v>
                </c:pt>
                <c:pt idx="6">
                  <c:v>49702035</c:v>
                </c:pt>
                <c:pt idx="7">
                  <c:v>53305738</c:v>
                </c:pt>
                <c:pt idx="8">
                  <c:v>38545556</c:v>
                </c:pt>
                <c:pt idx="9">
                  <c:v>53716083</c:v>
                </c:pt>
                <c:pt idx="10">
                  <c:v>48388670</c:v>
                </c:pt>
                <c:pt idx="11">
                  <c:v>59263858</c:v>
                </c:pt>
              </c:numCache>
            </c:numRef>
          </c:val>
          <c:smooth val="0"/>
          <c:extLst>
            <c:ext xmlns:c16="http://schemas.microsoft.com/office/drawing/2014/chart" uri="{C3380CC4-5D6E-409C-BE32-E72D297353CC}">
              <c16:uniqueId val="{00000000-8E3B-44B6-891B-2E4AAF72B4E3}"/>
            </c:ext>
          </c:extLst>
        </c:ser>
        <c:dLbls>
          <c:showLegendKey val="0"/>
          <c:showVal val="0"/>
          <c:showCatName val="0"/>
          <c:showSerName val="0"/>
          <c:showPercent val="0"/>
          <c:showBubbleSize val="0"/>
        </c:dLbls>
        <c:smooth val="0"/>
        <c:axId val="880249327"/>
        <c:axId val="880249807"/>
      </c:lineChart>
      <c:catAx>
        <c:axId val="88024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249807"/>
        <c:crosses val="autoZero"/>
        <c:auto val="1"/>
        <c:lblAlgn val="ctr"/>
        <c:lblOffset val="100"/>
        <c:noMultiLvlLbl val="0"/>
      </c:catAx>
      <c:valAx>
        <c:axId val="880249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24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[Customer_Segmentation_Dashboard.xlsx.xlsx]Sales by City!PivotTable7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City'!$B$3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City'!$A$4:$A$15</c:f>
              <c:strCache>
                <c:ptCount val="11"/>
                <c:pt idx="0">
                  <c:v>Ahmedabad</c:v>
                </c:pt>
                <c:pt idx="1">
                  <c:v>Bangalore</c:v>
                </c:pt>
                <c:pt idx="2">
                  <c:v>Chennai</c:v>
                </c:pt>
                <c:pt idx="3">
                  <c:v>Delhi</c:v>
                </c:pt>
                <c:pt idx="4">
                  <c:v>Hyderabad</c:v>
                </c:pt>
                <c:pt idx="5">
                  <c:v>Jaipur</c:v>
                </c:pt>
                <c:pt idx="6">
                  <c:v>Kolkata</c:v>
                </c:pt>
                <c:pt idx="7">
                  <c:v>Mumbai</c:v>
                </c:pt>
                <c:pt idx="8">
                  <c:v>Pune</c:v>
                </c:pt>
                <c:pt idx="9">
                  <c:v>Surat</c:v>
                </c:pt>
                <c:pt idx="10">
                  <c:v>(blank)</c:v>
                </c:pt>
              </c:strCache>
            </c:strRef>
          </c:cat>
          <c:val>
            <c:numRef>
              <c:f>'Sales by City'!$B$4:$B$15</c:f>
              <c:numCache>
                <c:formatCode>General</c:formatCode>
                <c:ptCount val="11"/>
                <c:pt idx="0">
                  <c:v>64216614</c:v>
                </c:pt>
                <c:pt idx="1">
                  <c:v>53445301</c:v>
                </c:pt>
                <c:pt idx="2">
                  <c:v>60439137</c:v>
                </c:pt>
                <c:pt idx="3">
                  <c:v>50562236</c:v>
                </c:pt>
                <c:pt idx="4">
                  <c:v>59442104</c:v>
                </c:pt>
                <c:pt idx="5">
                  <c:v>42044301</c:v>
                </c:pt>
                <c:pt idx="6">
                  <c:v>58616648</c:v>
                </c:pt>
                <c:pt idx="7">
                  <c:v>75418020</c:v>
                </c:pt>
                <c:pt idx="8">
                  <c:v>80220247</c:v>
                </c:pt>
                <c:pt idx="9">
                  <c:v>91660788</c:v>
                </c:pt>
              </c:numCache>
            </c:numRef>
          </c:val>
          <c:extLst>
            <c:ext xmlns:c16="http://schemas.microsoft.com/office/drawing/2014/chart" uri="{C3380CC4-5D6E-409C-BE32-E72D297353CC}">
              <c16:uniqueId val="{00000000-5EA1-4EC1-913D-70C119A3B541}"/>
            </c:ext>
          </c:extLst>
        </c:ser>
        <c:dLbls>
          <c:dLblPos val="outEnd"/>
          <c:showLegendKey val="0"/>
          <c:showVal val="1"/>
          <c:showCatName val="0"/>
          <c:showSerName val="0"/>
          <c:showPercent val="0"/>
          <c:showBubbleSize val="0"/>
        </c:dLbls>
        <c:gapWidth val="219"/>
        <c:overlap val="-27"/>
        <c:axId val="583943775"/>
        <c:axId val="583939183"/>
      </c:barChart>
      <c:catAx>
        <c:axId val="58394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939183"/>
        <c:crosses val="autoZero"/>
        <c:auto val="1"/>
        <c:lblAlgn val="ctr"/>
        <c:lblOffset val="100"/>
        <c:noMultiLvlLbl val="0"/>
      </c:catAx>
      <c:valAx>
        <c:axId val="58393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94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[Customer_Segmentation_Dashboard.xlsx.xlsx]Sales by Product Category!PivotTable8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Product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Category'!$A$4:$A$9</c:f>
              <c:strCache>
                <c:ptCount val="5"/>
                <c:pt idx="0">
                  <c:v>Accessories</c:v>
                </c:pt>
                <c:pt idx="1">
                  <c:v>Laptops</c:v>
                </c:pt>
                <c:pt idx="2">
                  <c:v>Smartphones</c:v>
                </c:pt>
                <c:pt idx="3">
                  <c:v>Tablets</c:v>
                </c:pt>
                <c:pt idx="4">
                  <c:v>(blank)</c:v>
                </c:pt>
              </c:strCache>
            </c:strRef>
          </c:cat>
          <c:val>
            <c:numRef>
              <c:f>'Sales by Product Category'!$B$4:$B$9</c:f>
              <c:numCache>
                <c:formatCode>General</c:formatCode>
                <c:ptCount val="5"/>
                <c:pt idx="0">
                  <c:v>40183628</c:v>
                </c:pt>
                <c:pt idx="1">
                  <c:v>167071699</c:v>
                </c:pt>
                <c:pt idx="2">
                  <c:v>318075916</c:v>
                </c:pt>
                <c:pt idx="3">
                  <c:v>110734153</c:v>
                </c:pt>
              </c:numCache>
            </c:numRef>
          </c:val>
          <c:extLst>
            <c:ext xmlns:c16="http://schemas.microsoft.com/office/drawing/2014/chart" uri="{C3380CC4-5D6E-409C-BE32-E72D297353CC}">
              <c16:uniqueId val="{00000000-7233-445A-B8FA-EF8BBE0A169E}"/>
            </c:ext>
          </c:extLst>
        </c:ser>
        <c:dLbls>
          <c:dLblPos val="outEnd"/>
          <c:showLegendKey val="0"/>
          <c:showVal val="1"/>
          <c:showCatName val="0"/>
          <c:showSerName val="0"/>
          <c:showPercent val="0"/>
          <c:showBubbleSize val="0"/>
        </c:dLbls>
        <c:gapWidth val="182"/>
        <c:axId val="582003247"/>
        <c:axId val="582004687"/>
      </c:barChart>
      <c:catAx>
        <c:axId val="582003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004687"/>
        <c:crosses val="autoZero"/>
        <c:auto val="1"/>
        <c:lblAlgn val="ctr"/>
        <c:lblOffset val="100"/>
        <c:noMultiLvlLbl val="0"/>
      </c:catAx>
      <c:valAx>
        <c:axId val="582004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00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[Customer_Segmentation_Dashboard.xlsx.xlsx]Monthly Revenue!PivotTable5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Revenue'!$B$3</c:f>
              <c:strCache>
                <c:ptCount val="1"/>
                <c:pt idx="0">
                  <c:v>Total</c:v>
                </c:pt>
              </c:strCache>
            </c:strRef>
          </c:tx>
          <c:spPr>
            <a:ln w="28575" cap="rnd">
              <a:solidFill>
                <a:schemeClr val="accent1"/>
              </a:solidFill>
              <a:round/>
            </a:ln>
            <a:effectLst/>
          </c:spPr>
          <c:marker>
            <c:symbol val="none"/>
          </c:marker>
          <c:cat>
            <c:strRef>
              <c:f>'Monthly Revenue'!$A$4:$A$17</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'Monthly Revenue'!$B$4:$B$17</c:f>
              <c:numCache>
                <c:formatCode>General</c:formatCode>
                <c:ptCount val="13"/>
                <c:pt idx="0">
                  <c:v>41857858</c:v>
                </c:pt>
                <c:pt idx="1">
                  <c:v>55905036</c:v>
                </c:pt>
                <c:pt idx="2">
                  <c:v>45259129</c:v>
                </c:pt>
                <c:pt idx="3">
                  <c:v>63959180</c:v>
                </c:pt>
                <c:pt idx="4">
                  <c:v>57749181</c:v>
                </c:pt>
                <c:pt idx="5">
                  <c:v>68413072</c:v>
                </c:pt>
                <c:pt idx="6">
                  <c:v>49702035</c:v>
                </c:pt>
                <c:pt idx="7">
                  <c:v>53305738</c:v>
                </c:pt>
                <c:pt idx="8">
                  <c:v>38545556</c:v>
                </c:pt>
                <c:pt idx="9">
                  <c:v>53716083</c:v>
                </c:pt>
                <c:pt idx="10">
                  <c:v>48388670</c:v>
                </c:pt>
                <c:pt idx="11">
                  <c:v>59263858</c:v>
                </c:pt>
              </c:numCache>
            </c:numRef>
          </c:val>
          <c:smooth val="0"/>
          <c:extLst>
            <c:ext xmlns:c16="http://schemas.microsoft.com/office/drawing/2014/chart" uri="{C3380CC4-5D6E-409C-BE32-E72D297353CC}">
              <c16:uniqueId val="{00000000-C11E-4128-853B-3777DB36D18B}"/>
            </c:ext>
          </c:extLst>
        </c:ser>
        <c:dLbls>
          <c:showLegendKey val="0"/>
          <c:showVal val="0"/>
          <c:showCatName val="0"/>
          <c:showSerName val="0"/>
          <c:showPercent val="0"/>
          <c:showBubbleSize val="0"/>
        </c:dLbls>
        <c:smooth val="0"/>
        <c:axId val="880249327"/>
        <c:axId val="880249807"/>
      </c:lineChart>
      <c:catAx>
        <c:axId val="880249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249807"/>
        <c:crosses val="autoZero"/>
        <c:auto val="1"/>
        <c:lblAlgn val="ctr"/>
        <c:lblOffset val="100"/>
        <c:noMultiLvlLbl val="0"/>
      </c:catAx>
      <c:valAx>
        <c:axId val="880249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249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[Customer_Segmentation_Dashboard.xlsx.xlsx]Sales by City!PivotTable7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City'!$B$3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City'!$A$4:$A$15</c:f>
              <c:strCache>
                <c:ptCount val="11"/>
                <c:pt idx="0">
                  <c:v>Ahmedabad</c:v>
                </c:pt>
                <c:pt idx="1">
                  <c:v>Bangalore</c:v>
                </c:pt>
                <c:pt idx="2">
                  <c:v>Chennai</c:v>
                </c:pt>
                <c:pt idx="3">
                  <c:v>Delhi</c:v>
                </c:pt>
                <c:pt idx="4">
                  <c:v>Hyderabad</c:v>
                </c:pt>
                <c:pt idx="5">
                  <c:v>Jaipur</c:v>
                </c:pt>
                <c:pt idx="6">
                  <c:v>Kolkata</c:v>
                </c:pt>
                <c:pt idx="7">
                  <c:v>Mumbai</c:v>
                </c:pt>
                <c:pt idx="8">
                  <c:v>Pune</c:v>
                </c:pt>
                <c:pt idx="9">
                  <c:v>Surat</c:v>
                </c:pt>
                <c:pt idx="10">
                  <c:v>(blank)</c:v>
                </c:pt>
              </c:strCache>
            </c:strRef>
          </c:cat>
          <c:val>
            <c:numRef>
              <c:f>'Sales by City'!$B$4:$B$15</c:f>
              <c:numCache>
                <c:formatCode>General</c:formatCode>
                <c:ptCount val="11"/>
                <c:pt idx="0">
                  <c:v>64216614</c:v>
                </c:pt>
                <c:pt idx="1">
                  <c:v>53445301</c:v>
                </c:pt>
                <c:pt idx="2">
                  <c:v>60439137</c:v>
                </c:pt>
                <c:pt idx="3">
                  <c:v>50562236</c:v>
                </c:pt>
                <c:pt idx="4">
                  <c:v>59442104</c:v>
                </c:pt>
                <c:pt idx="5">
                  <c:v>42044301</c:v>
                </c:pt>
                <c:pt idx="6">
                  <c:v>58616648</c:v>
                </c:pt>
                <c:pt idx="7">
                  <c:v>75418020</c:v>
                </c:pt>
                <c:pt idx="8">
                  <c:v>80220247</c:v>
                </c:pt>
                <c:pt idx="9">
                  <c:v>91660788</c:v>
                </c:pt>
              </c:numCache>
            </c:numRef>
          </c:val>
          <c:extLst>
            <c:ext xmlns:c16="http://schemas.microsoft.com/office/drawing/2014/chart" uri="{C3380CC4-5D6E-409C-BE32-E72D297353CC}">
              <c16:uniqueId val="{00000000-DC83-4037-AA21-9BA2843C9DD6}"/>
            </c:ext>
          </c:extLst>
        </c:ser>
        <c:dLbls>
          <c:dLblPos val="outEnd"/>
          <c:showLegendKey val="0"/>
          <c:showVal val="1"/>
          <c:showCatName val="0"/>
          <c:showSerName val="0"/>
          <c:showPercent val="0"/>
          <c:showBubbleSize val="0"/>
        </c:dLbls>
        <c:gapWidth val="219"/>
        <c:overlap val="-27"/>
        <c:axId val="583943775"/>
        <c:axId val="583939183"/>
      </c:barChart>
      <c:catAx>
        <c:axId val="58394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939183"/>
        <c:crosses val="autoZero"/>
        <c:auto val="1"/>
        <c:lblAlgn val="ctr"/>
        <c:lblOffset val="100"/>
        <c:noMultiLvlLbl val="0"/>
      </c:catAx>
      <c:valAx>
        <c:axId val="58393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94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[Customer_Segmentation_Dashboard.xlsx.xlsx]Sales by Product Category!PivotTable8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Product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Category'!$A$4:$A$9</c:f>
              <c:strCache>
                <c:ptCount val="5"/>
                <c:pt idx="0">
                  <c:v>Accessories</c:v>
                </c:pt>
                <c:pt idx="1">
                  <c:v>Laptops</c:v>
                </c:pt>
                <c:pt idx="2">
                  <c:v>Smartphones</c:v>
                </c:pt>
                <c:pt idx="3">
                  <c:v>Tablets</c:v>
                </c:pt>
                <c:pt idx="4">
                  <c:v>(blank)</c:v>
                </c:pt>
              </c:strCache>
            </c:strRef>
          </c:cat>
          <c:val>
            <c:numRef>
              <c:f>'Sales by Product Category'!$B$4:$B$9</c:f>
              <c:numCache>
                <c:formatCode>General</c:formatCode>
                <c:ptCount val="5"/>
                <c:pt idx="0">
                  <c:v>40183628</c:v>
                </c:pt>
                <c:pt idx="1">
                  <c:v>167071699</c:v>
                </c:pt>
                <c:pt idx="2">
                  <c:v>318075916</c:v>
                </c:pt>
                <c:pt idx="3">
                  <c:v>110734153</c:v>
                </c:pt>
              </c:numCache>
            </c:numRef>
          </c:val>
          <c:extLst>
            <c:ext xmlns:c16="http://schemas.microsoft.com/office/drawing/2014/chart" uri="{C3380CC4-5D6E-409C-BE32-E72D297353CC}">
              <c16:uniqueId val="{00000000-FF79-4BE3-B30C-5D30AE3F30AB}"/>
            </c:ext>
          </c:extLst>
        </c:ser>
        <c:dLbls>
          <c:dLblPos val="outEnd"/>
          <c:showLegendKey val="0"/>
          <c:showVal val="1"/>
          <c:showCatName val="0"/>
          <c:showSerName val="0"/>
          <c:showPercent val="0"/>
          <c:showBubbleSize val="0"/>
        </c:dLbls>
        <c:gapWidth val="182"/>
        <c:axId val="582003247"/>
        <c:axId val="582004687"/>
      </c:barChart>
      <c:catAx>
        <c:axId val="582003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004687"/>
        <c:crosses val="autoZero"/>
        <c:auto val="1"/>
        <c:lblAlgn val="ctr"/>
        <c:lblOffset val="100"/>
        <c:noMultiLvlLbl val="0"/>
      </c:catAx>
      <c:valAx>
        <c:axId val="5820046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00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114300</xdr:colOff>
      <xdr:row>1</xdr:row>
      <xdr:rowOff>129540</xdr:rowOff>
    </xdr:from>
    <xdr:to>
      <xdr:col>9</xdr:col>
      <xdr:colOff>38100</xdr:colOff>
      <xdr:row>16</xdr:row>
      <xdr:rowOff>129540</xdr:rowOff>
    </xdr:to>
    <xdr:graphicFrame macro="">
      <xdr:nvGraphicFramePr>
        <xdr:cNvPr id="2" name="Chart 1">
          <a:extLst>
            <a:ext uri="{FF2B5EF4-FFF2-40B4-BE49-F238E27FC236}">
              <a16:creationId xmlns:a16="http://schemas.microsoft.com/office/drawing/2014/main" id="{F995F0FC-584E-78F2-6E94-E5BC93D278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60960</xdr:colOff>
      <xdr:row>1</xdr:row>
      <xdr:rowOff>68580</xdr:rowOff>
    </xdr:from>
    <xdr:to>
      <xdr:col>9</xdr:col>
      <xdr:colOff>312420</xdr:colOff>
      <xdr:row>16</xdr:row>
      <xdr:rowOff>68580</xdr:rowOff>
    </xdr:to>
    <xdr:graphicFrame macro="">
      <xdr:nvGraphicFramePr>
        <xdr:cNvPr id="2" name="Chart 1">
          <a:extLst>
            <a:ext uri="{FF2B5EF4-FFF2-40B4-BE49-F238E27FC236}">
              <a16:creationId xmlns:a16="http://schemas.microsoft.com/office/drawing/2014/main" id="{8200DF6F-A436-404D-1B9B-3EC1C3B25B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281940</xdr:colOff>
      <xdr:row>1</xdr:row>
      <xdr:rowOff>144780</xdr:rowOff>
    </xdr:from>
    <xdr:to>
      <xdr:col>12</xdr:col>
      <xdr:colOff>259080</xdr:colOff>
      <xdr:row>15</xdr:row>
      <xdr:rowOff>51435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6DC485D9-45F4-CD95-9ADD-D5F350A5DD8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629400" y="327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259080</xdr:colOff>
      <xdr:row>1</xdr:row>
      <xdr:rowOff>160020</xdr:rowOff>
    </xdr:from>
    <xdr:to>
      <xdr:col>15</xdr:col>
      <xdr:colOff>251460</xdr:colOff>
      <xdr:row>15</xdr:row>
      <xdr:rowOff>66675</xdr:rowOff>
    </xdr:to>
    <mc:AlternateContent xmlns:mc="http://schemas.openxmlformats.org/markup-compatibility/2006" xmlns:a14="http://schemas.microsoft.com/office/drawing/2010/main">
      <mc:Choice Requires="a14">
        <xdr:graphicFrame macro="">
          <xdr:nvGraphicFramePr>
            <xdr:cNvPr id="4" name="Product_Category">
              <a:extLst>
                <a:ext uri="{FF2B5EF4-FFF2-40B4-BE49-F238E27FC236}">
                  <a16:creationId xmlns:a16="http://schemas.microsoft.com/office/drawing/2014/main" id="{47896D5E-9126-8510-71D6-2E40F76D803C}"/>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8458200" y="342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121920</xdr:colOff>
      <xdr:row>2</xdr:row>
      <xdr:rowOff>0</xdr:rowOff>
    </xdr:from>
    <xdr:to>
      <xdr:col>9</xdr:col>
      <xdr:colOff>373380</xdr:colOff>
      <xdr:row>18</xdr:row>
      <xdr:rowOff>99060</xdr:rowOff>
    </xdr:to>
    <xdr:graphicFrame macro="">
      <xdr:nvGraphicFramePr>
        <xdr:cNvPr id="2" name="Chart 1">
          <a:extLst>
            <a:ext uri="{FF2B5EF4-FFF2-40B4-BE49-F238E27FC236}">
              <a16:creationId xmlns:a16="http://schemas.microsoft.com/office/drawing/2014/main" id="{DC149A8B-A14A-4803-FEA0-D7DCCF3BED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396240</xdr:colOff>
      <xdr:row>7</xdr:row>
      <xdr:rowOff>289560</xdr:rowOff>
    </xdr:from>
    <xdr:to>
      <xdr:col>5</xdr:col>
      <xdr:colOff>449580</xdr:colOff>
      <xdr:row>19</xdr:row>
      <xdr:rowOff>99060</xdr:rowOff>
    </xdr:to>
    <xdr:graphicFrame macro="">
      <xdr:nvGraphicFramePr>
        <xdr:cNvPr id="2" name="Chart 1">
          <a:extLst>
            <a:ext uri="{FF2B5EF4-FFF2-40B4-BE49-F238E27FC236}">
              <a16:creationId xmlns:a16="http://schemas.microsoft.com/office/drawing/2014/main" id="{0CBC9E2C-6ADE-4B00-9130-0AB2A4B46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129540</xdr:colOff>
      <xdr:row>7</xdr:row>
      <xdr:rowOff>289560</xdr:rowOff>
    </xdr:from>
    <xdr:to>
      <xdr:col>14</xdr:col>
      <xdr:colOff>342900</xdr:colOff>
      <xdr:row>19</xdr:row>
      <xdr:rowOff>99060</xdr:rowOff>
    </xdr:to>
    <xdr:graphicFrame macro="">
      <xdr:nvGraphicFramePr>
        <xdr:cNvPr id="3" name="Chart 2">
          <a:extLst>
            <a:ext uri="{FF2B5EF4-FFF2-40B4-BE49-F238E27FC236}">
              <a16:creationId xmlns:a16="http://schemas.microsoft.com/office/drawing/2014/main" id="{ABC6322D-47E3-4FF7-B2BA-118F01986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373380</xdr:colOff>
      <xdr:row>7</xdr:row>
      <xdr:rowOff>281940</xdr:rowOff>
    </xdr:from>
    <xdr:to>
      <xdr:col>19</xdr:col>
      <xdr:colOff>464820</xdr:colOff>
      <xdr:row>19</xdr:row>
      <xdr:rowOff>175260</xdr:rowOff>
    </xdr:to>
    <xdr:graphicFrame macro="">
      <xdr:nvGraphicFramePr>
        <xdr:cNvPr id="4" name="Chart 3">
          <a:extLst>
            <a:ext uri="{FF2B5EF4-FFF2-40B4-BE49-F238E27FC236}">
              <a16:creationId xmlns:a16="http://schemas.microsoft.com/office/drawing/2014/main" id="{85F8EEC1-9E86-4166-8C2D-3AE3FD6BA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yuday Mishra" refreshedDate="45955.688672569442" createdVersion="8" refreshedVersion="8" minRefreshableVersion="3" recordCount="208" xr:uid="{58B6241A-C4E6-4088-BE31-1D3ACCAF47E3}">
  <cacheSource type="worksheet">
    <worksheetSource ref="A1:G1048576" sheet="Sheet1"/>
  </cacheSource>
  <cacheFields count="7">
    <cacheField name="City" numFmtId="0">
      <sharedItems containsBlank="1" count="11">
        <s v="Hyderabad"/>
        <s v="Bangalore"/>
        <s v="Ahmedabad"/>
        <s v="Delhi"/>
        <s v="Kolkata"/>
        <s v="Chennai"/>
        <s v="Mumbai"/>
        <s v="Surat"/>
        <s v="Pune"/>
        <s v="Jaipur"/>
        <m/>
      </sharedItems>
    </cacheField>
    <cacheField name="Month" numFmtId="0">
      <sharedItems containsBlank="1" count="13">
        <s v="Apr"/>
        <s v="Jul"/>
        <s v="Aug"/>
        <s v="Dec"/>
        <s v="May"/>
        <s v="Jun"/>
        <s v="Oct"/>
        <s v="Sep"/>
        <s v="Mar"/>
        <s v="Nov"/>
        <s v="Jan"/>
        <s v="Feb"/>
        <m/>
      </sharedItems>
    </cacheField>
    <cacheField name="Product_Category" numFmtId="0">
      <sharedItems containsBlank="1" count="5">
        <s v="Smartphones"/>
        <s v="Tablets"/>
        <s v="Laptops"/>
        <s v="Accessories"/>
        <m/>
      </sharedItems>
    </cacheField>
    <cacheField name="Units_Sold" numFmtId="0">
      <sharedItems containsString="0" containsBlank="1" containsNumber="1" containsInteger="1" minValue="100" maxValue="1179"/>
    </cacheField>
    <cacheField name="Unit_Price" numFmtId="0">
      <sharedItems containsString="0" containsBlank="1" containsNumber="1" minValue="930.31" maxValue="22611.68"/>
    </cacheField>
    <cacheField name="Total_Sales" numFmtId="0">
      <sharedItems containsString="0" containsBlank="1" containsNumber="1" containsInteger="1" minValue="394452" maxValue="6469159"/>
    </cacheField>
    <cacheField name="Customer_Count" numFmtId="0">
      <sharedItems containsString="0" containsBlank="1" containsNumber="1" containsInteger="1" minValue="79" maxValue="1092"/>
    </cacheField>
  </cacheFields>
  <extLst>
    <ext xmlns:x14="http://schemas.microsoft.com/office/spreadsheetml/2009/9/main" uri="{725AE2AE-9491-48be-B2B4-4EB974FC3084}">
      <x14:pivotCacheDefinition pivotCacheId="1183925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
  <r>
    <x v="0"/>
    <x v="0"/>
    <x v="0"/>
    <n v="870"/>
    <n v="5429.54"/>
    <n v="4723698"/>
    <n v="642"/>
  </r>
  <r>
    <x v="1"/>
    <x v="1"/>
    <x v="1"/>
    <n v="287"/>
    <n v="7156.91"/>
    <n v="2054033"/>
    <n v="224"/>
  </r>
  <r>
    <x v="2"/>
    <x v="2"/>
    <x v="1"/>
    <n v="349"/>
    <n v="6723.95"/>
    <n v="2346658"/>
    <n v="326"/>
  </r>
  <r>
    <x v="3"/>
    <x v="3"/>
    <x v="0"/>
    <n v="760"/>
    <n v="5268.1"/>
    <n v="4003753"/>
    <n v="589"/>
  </r>
  <r>
    <x v="4"/>
    <x v="3"/>
    <x v="0"/>
    <n v="1160"/>
    <n v="4812.18"/>
    <n v="5582127"/>
    <n v="825"/>
  </r>
  <r>
    <x v="1"/>
    <x v="3"/>
    <x v="1"/>
    <n v="443"/>
    <n v="6881.03"/>
    <n v="3048297"/>
    <n v="375"/>
  </r>
  <r>
    <x v="1"/>
    <x v="4"/>
    <x v="1"/>
    <n v="334"/>
    <n v="6519.92"/>
    <n v="2177655"/>
    <n v="241"/>
  </r>
  <r>
    <x v="5"/>
    <x v="3"/>
    <x v="1"/>
    <n v="463"/>
    <n v="6984.23"/>
    <n v="3233699"/>
    <n v="328"/>
  </r>
  <r>
    <x v="6"/>
    <x v="0"/>
    <x v="2"/>
    <n v="203"/>
    <n v="21142.61"/>
    <n v="4291949"/>
    <n v="152"/>
  </r>
  <r>
    <x v="5"/>
    <x v="5"/>
    <x v="0"/>
    <n v="1001"/>
    <n v="5604.85"/>
    <n v="5610453"/>
    <n v="894"/>
  </r>
  <r>
    <x v="3"/>
    <x v="6"/>
    <x v="2"/>
    <n v="113"/>
    <n v="20774.25"/>
    <n v="2347490"/>
    <n v="95"/>
  </r>
  <r>
    <x v="7"/>
    <x v="2"/>
    <x v="0"/>
    <n v="937"/>
    <n v="5537.73"/>
    <n v="5188848"/>
    <n v="782"/>
  </r>
  <r>
    <x v="2"/>
    <x v="6"/>
    <x v="0"/>
    <n v="787"/>
    <n v="5073.8900000000003"/>
    <n v="3993151"/>
    <n v="708"/>
  </r>
  <r>
    <x v="6"/>
    <x v="7"/>
    <x v="1"/>
    <n v="208"/>
    <n v="6740.33"/>
    <n v="1401988"/>
    <n v="185"/>
  </r>
  <r>
    <x v="2"/>
    <x v="2"/>
    <x v="1"/>
    <n v="338"/>
    <n v="6890.89"/>
    <n v="2329121"/>
    <n v="303"/>
  </r>
  <r>
    <x v="8"/>
    <x v="6"/>
    <x v="1"/>
    <n v="240"/>
    <n v="6427.98"/>
    <n v="1542716"/>
    <n v="222"/>
  </r>
  <r>
    <x v="7"/>
    <x v="2"/>
    <x v="3"/>
    <n v="432"/>
    <n v="1182.23"/>
    <n v="510722"/>
    <n v="337"/>
  </r>
  <r>
    <x v="1"/>
    <x v="3"/>
    <x v="3"/>
    <n v="1125"/>
    <n v="1158.96"/>
    <n v="1303832"/>
    <n v="1037"/>
  </r>
  <r>
    <x v="6"/>
    <x v="8"/>
    <x v="0"/>
    <n v="1061"/>
    <n v="5393.56"/>
    <n v="5722566"/>
    <n v="805"/>
  </r>
  <r>
    <x v="0"/>
    <x v="9"/>
    <x v="0"/>
    <n v="806"/>
    <n v="5447.22"/>
    <n v="4390463"/>
    <n v="650"/>
  </r>
  <r>
    <x v="9"/>
    <x v="3"/>
    <x v="0"/>
    <n v="1174"/>
    <n v="5288.04"/>
    <n v="6208155"/>
    <n v="987"/>
  </r>
  <r>
    <x v="5"/>
    <x v="4"/>
    <x v="1"/>
    <n v="430"/>
    <n v="6988.35"/>
    <n v="3004991"/>
    <n v="345"/>
  </r>
  <r>
    <x v="5"/>
    <x v="1"/>
    <x v="1"/>
    <n v="442"/>
    <n v="6850.43"/>
    <n v="3027892"/>
    <n v="405"/>
  </r>
  <r>
    <x v="5"/>
    <x v="9"/>
    <x v="3"/>
    <n v="905"/>
    <n v="1315.82"/>
    <n v="1190816"/>
    <n v="661"/>
  </r>
  <r>
    <x v="7"/>
    <x v="1"/>
    <x v="2"/>
    <n v="228"/>
    <n v="21186.31"/>
    <n v="4830479"/>
    <n v="206"/>
  </r>
  <r>
    <x v="7"/>
    <x v="8"/>
    <x v="1"/>
    <n v="397"/>
    <n v="6260.95"/>
    <n v="2485595"/>
    <n v="328"/>
  </r>
  <r>
    <x v="7"/>
    <x v="4"/>
    <x v="0"/>
    <n v="833"/>
    <n v="5390.59"/>
    <n v="4490359"/>
    <n v="650"/>
  </r>
  <r>
    <x v="2"/>
    <x v="7"/>
    <x v="3"/>
    <n v="512"/>
    <n v="1183.3900000000001"/>
    <n v="605898"/>
    <n v="366"/>
  </r>
  <r>
    <x v="9"/>
    <x v="0"/>
    <x v="3"/>
    <n v="909"/>
    <n v="1308.67"/>
    <n v="1189583"/>
    <n v="669"/>
  </r>
  <r>
    <x v="2"/>
    <x v="10"/>
    <x v="1"/>
    <n v="312"/>
    <n v="7001.5"/>
    <n v="2184467"/>
    <n v="294"/>
  </r>
  <r>
    <x v="4"/>
    <x v="1"/>
    <x v="0"/>
    <n v="824"/>
    <n v="5586.7"/>
    <n v="4603443"/>
    <n v="686"/>
  </r>
  <r>
    <x v="9"/>
    <x v="5"/>
    <x v="3"/>
    <n v="646"/>
    <n v="1306.58"/>
    <n v="844050"/>
    <n v="560"/>
  </r>
  <r>
    <x v="2"/>
    <x v="9"/>
    <x v="0"/>
    <n v="893"/>
    <n v="5580.56"/>
    <n v="4983439"/>
    <n v="766"/>
  </r>
  <r>
    <x v="6"/>
    <x v="7"/>
    <x v="3"/>
    <n v="586"/>
    <n v="1059.81"/>
    <n v="621052"/>
    <n v="437"/>
  </r>
  <r>
    <x v="1"/>
    <x v="0"/>
    <x v="3"/>
    <n v="802"/>
    <n v="1288.75"/>
    <n v="1033578"/>
    <n v="631"/>
  </r>
  <r>
    <x v="0"/>
    <x v="0"/>
    <x v="0"/>
    <n v="1150"/>
    <n v="5421.1"/>
    <n v="6234261"/>
    <n v="1074"/>
  </r>
  <r>
    <x v="6"/>
    <x v="9"/>
    <x v="3"/>
    <n v="872"/>
    <n v="1220.57"/>
    <n v="1064333"/>
    <n v="762"/>
  </r>
  <r>
    <x v="0"/>
    <x v="3"/>
    <x v="3"/>
    <n v="745"/>
    <n v="1055.6500000000001"/>
    <n v="786460"/>
    <n v="704"/>
  </r>
  <r>
    <x v="5"/>
    <x v="3"/>
    <x v="0"/>
    <n v="601"/>
    <n v="5500.1"/>
    <n v="3305558"/>
    <n v="449"/>
  </r>
  <r>
    <x v="7"/>
    <x v="8"/>
    <x v="1"/>
    <n v="407"/>
    <n v="6745.73"/>
    <n v="2745511"/>
    <n v="376"/>
  </r>
  <r>
    <x v="2"/>
    <x v="5"/>
    <x v="3"/>
    <n v="1072"/>
    <n v="1132"/>
    <n v="1213501"/>
    <n v="793"/>
  </r>
  <r>
    <x v="4"/>
    <x v="2"/>
    <x v="3"/>
    <n v="653"/>
    <n v="1223.23"/>
    <n v="798766"/>
    <n v="458"/>
  </r>
  <r>
    <x v="7"/>
    <x v="8"/>
    <x v="0"/>
    <n v="937"/>
    <n v="4724.1099999999997"/>
    <n v="4426490"/>
    <n v="888"/>
  </r>
  <r>
    <x v="5"/>
    <x v="10"/>
    <x v="3"/>
    <n v="797"/>
    <n v="1119.68"/>
    <n v="892387"/>
    <n v="622"/>
  </r>
  <r>
    <x v="5"/>
    <x v="2"/>
    <x v="3"/>
    <n v="791"/>
    <n v="1242.45"/>
    <n v="982777"/>
    <n v="666"/>
  </r>
  <r>
    <x v="1"/>
    <x v="5"/>
    <x v="1"/>
    <n v="221"/>
    <n v="6982.16"/>
    <n v="1543058"/>
    <n v="168"/>
  </r>
  <r>
    <x v="4"/>
    <x v="5"/>
    <x v="0"/>
    <n v="1162"/>
    <n v="5355.34"/>
    <n v="6222903"/>
    <n v="1044"/>
  </r>
  <r>
    <x v="6"/>
    <x v="3"/>
    <x v="1"/>
    <n v="346"/>
    <n v="6948.15"/>
    <n v="2404062"/>
    <n v="291"/>
  </r>
  <r>
    <x v="6"/>
    <x v="10"/>
    <x v="3"/>
    <n v="619"/>
    <n v="1021.67"/>
    <n v="632417"/>
    <n v="570"/>
  </r>
  <r>
    <x v="7"/>
    <x v="4"/>
    <x v="3"/>
    <n v="748"/>
    <n v="1175.69"/>
    <n v="879414"/>
    <n v="603"/>
  </r>
  <r>
    <x v="8"/>
    <x v="8"/>
    <x v="3"/>
    <n v="515"/>
    <n v="1115.32"/>
    <n v="574390"/>
    <n v="470"/>
  </r>
  <r>
    <x v="1"/>
    <x v="11"/>
    <x v="0"/>
    <n v="1165"/>
    <n v="4997.03"/>
    <n v="5821541"/>
    <n v="1018"/>
  </r>
  <r>
    <x v="2"/>
    <x v="2"/>
    <x v="2"/>
    <n v="131"/>
    <n v="20581.82"/>
    <n v="2696219"/>
    <n v="100"/>
  </r>
  <r>
    <x v="9"/>
    <x v="11"/>
    <x v="2"/>
    <n v="116"/>
    <n v="22611.68"/>
    <n v="2622955"/>
    <n v="105"/>
  </r>
  <r>
    <x v="7"/>
    <x v="9"/>
    <x v="2"/>
    <n v="138"/>
    <n v="22224.1"/>
    <n v="3066925"/>
    <n v="124"/>
  </r>
  <r>
    <x v="7"/>
    <x v="2"/>
    <x v="0"/>
    <n v="1105"/>
    <n v="5179.22"/>
    <n v="5723037"/>
    <n v="774"/>
  </r>
  <r>
    <x v="5"/>
    <x v="0"/>
    <x v="0"/>
    <n v="1111"/>
    <n v="5188.8100000000004"/>
    <n v="5764769"/>
    <n v="1023"/>
  </r>
  <r>
    <x v="3"/>
    <x v="11"/>
    <x v="3"/>
    <n v="1126"/>
    <n v="1187.23"/>
    <n v="1336817"/>
    <n v="977"/>
  </r>
  <r>
    <x v="1"/>
    <x v="7"/>
    <x v="2"/>
    <n v="162"/>
    <n v="21169.79"/>
    <n v="3429506"/>
    <n v="114"/>
  </r>
  <r>
    <x v="4"/>
    <x v="9"/>
    <x v="3"/>
    <n v="1012"/>
    <n v="1259.56"/>
    <n v="1274679"/>
    <n v="840"/>
  </r>
  <r>
    <x v="8"/>
    <x v="3"/>
    <x v="3"/>
    <n v="1019"/>
    <n v="1126.96"/>
    <n v="1148376"/>
    <n v="726"/>
  </r>
  <r>
    <x v="5"/>
    <x v="8"/>
    <x v="1"/>
    <n v="343"/>
    <n v="6764.94"/>
    <n v="2320374"/>
    <n v="323"/>
  </r>
  <r>
    <x v="9"/>
    <x v="8"/>
    <x v="0"/>
    <n v="719"/>
    <n v="5211.1000000000004"/>
    <n v="3746781"/>
    <n v="517"/>
  </r>
  <r>
    <x v="8"/>
    <x v="6"/>
    <x v="0"/>
    <n v="726"/>
    <n v="4966.17"/>
    <n v="3605442"/>
    <n v="634"/>
  </r>
  <r>
    <x v="8"/>
    <x v="10"/>
    <x v="2"/>
    <n v="221"/>
    <n v="21120.04"/>
    <n v="4667530"/>
    <n v="185"/>
  </r>
  <r>
    <x v="7"/>
    <x v="2"/>
    <x v="0"/>
    <n v="871"/>
    <n v="5169.33"/>
    <n v="4502490"/>
    <n v="722"/>
  </r>
  <r>
    <x v="8"/>
    <x v="5"/>
    <x v="0"/>
    <n v="846"/>
    <n v="5317.31"/>
    <n v="4498447"/>
    <n v="625"/>
  </r>
  <r>
    <x v="4"/>
    <x v="7"/>
    <x v="0"/>
    <n v="819"/>
    <n v="5181.42"/>
    <n v="4243586"/>
    <n v="582"/>
  </r>
  <r>
    <x v="6"/>
    <x v="0"/>
    <x v="0"/>
    <n v="803"/>
    <n v="5190.1499999999996"/>
    <n v="4167690"/>
    <n v="655"/>
  </r>
  <r>
    <x v="8"/>
    <x v="1"/>
    <x v="2"/>
    <n v="109"/>
    <n v="22377.439999999999"/>
    <n v="2439141"/>
    <n v="102"/>
  </r>
  <r>
    <x v="5"/>
    <x v="11"/>
    <x v="3"/>
    <n v="622"/>
    <n v="1518.7"/>
    <n v="944633"/>
    <n v="541"/>
  </r>
  <r>
    <x v="2"/>
    <x v="1"/>
    <x v="2"/>
    <n v="227"/>
    <n v="21567.33"/>
    <n v="4895784"/>
    <n v="195"/>
  </r>
  <r>
    <x v="5"/>
    <x v="2"/>
    <x v="3"/>
    <n v="1089"/>
    <n v="1096.56"/>
    <n v="1194154"/>
    <n v="983"/>
  </r>
  <r>
    <x v="8"/>
    <x v="3"/>
    <x v="1"/>
    <n v="264"/>
    <n v="6761.28"/>
    <n v="1784979"/>
    <n v="248"/>
  </r>
  <r>
    <x v="9"/>
    <x v="9"/>
    <x v="3"/>
    <n v="684"/>
    <n v="1151.3599999999999"/>
    <n v="787528"/>
    <n v="533"/>
  </r>
  <r>
    <x v="9"/>
    <x v="6"/>
    <x v="2"/>
    <n v="214"/>
    <n v="21666.080000000002"/>
    <n v="4636541"/>
    <n v="164"/>
  </r>
  <r>
    <x v="5"/>
    <x v="6"/>
    <x v="0"/>
    <n v="1092"/>
    <n v="5389.73"/>
    <n v="5885585"/>
    <n v="913"/>
  </r>
  <r>
    <x v="8"/>
    <x v="7"/>
    <x v="3"/>
    <n v="591"/>
    <n v="1192.1300000000001"/>
    <n v="704547"/>
    <n v="498"/>
  </r>
  <r>
    <x v="1"/>
    <x v="0"/>
    <x v="2"/>
    <n v="195"/>
    <n v="21937.68"/>
    <n v="4277847"/>
    <n v="178"/>
  </r>
  <r>
    <x v="6"/>
    <x v="1"/>
    <x v="0"/>
    <n v="878"/>
    <n v="5259.56"/>
    <n v="4617895"/>
    <n v="780"/>
  </r>
  <r>
    <x v="7"/>
    <x v="10"/>
    <x v="0"/>
    <n v="661"/>
    <n v="4808.68"/>
    <n v="3178538"/>
    <n v="511"/>
  </r>
  <r>
    <x v="1"/>
    <x v="10"/>
    <x v="3"/>
    <n v="795"/>
    <n v="1192.3499999999999"/>
    <n v="947916"/>
    <n v="747"/>
  </r>
  <r>
    <x v="1"/>
    <x v="3"/>
    <x v="0"/>
    <n v="1054"/>
    <n v="5320.71"/>
    <n v="5608032"/>
    <n v="864"/>
  </r>
  <r>
    <x v="9"/>
    <x v="4"/>
    <x v="0"/>
    <n v="698"/>
    <n v="5353.53"/>
    <n v="3736762"/>
    <n v="593"/>
  </r>
  <r>
    <x v="5"/>
    <x v="9"/>
    <x v="0"/>
    <n v="1083"/>
    <n v="5662.73"/>
    <n v="6132740"/>
    <n v="1020"/>
  </r>
  <r>
    <x v="7"/>
    <x v="6"/>
    <x v="2"/>
    <n v="244"/>
    <n v="21823.67"/>
    <n v="5324975"/>
    <n v="176"/>
  </r>
  <r>
    <x v="0"/>
    <x v="2"/>
    <x v="2"/>
    <n v="236"/>
    <n v="21947.29"/>
    <n v="5179560"/>
    <n v="169"/>
  </r>
  <r>
    <x v="8"/>
    <x v="5"/>
    <x v="1"/>
    <n v="335"/>
    <n v="6961.76"/>
    <n v="2332190"/>
    <n v="265"/>
  </r>
  <r>
    <x v="6"/>
    <x v="5"/>
    <x v="3"/>
    <n v="1056"/>
    <n v="1133.58"/>
    <n v="1197058"/>
    <n v="761"/>
  </r>
  <r>
    <x v="4"/>
    <x v="1"/>
    <x v="1"/>
    <n v="401"/>
    <n v="7108.03"/>
    <n v="2850321"/>
    <n v="371"/>
  </r>
  <r>
    <x v="0"/>
    <x v="8"/>
    <x v="0"/>
    <n v="819"/>
    <n v="5618.03"/>
    <n v="4601168"/>
    <n v="730"/>
  </r>
  <r>
    <x v="7"/>
    <x v="1"/>
    <x v="0"/>
    <n v="986"/>
    <n v="5394.33"/>
    <n v="5318808"/>
    <n v="834"/>
  </r>
  <r>
    <x v="7"/>
    <x v="3"/>
    <x v="0"/>
    <n v="1008"/>
    <n v="5231.3599999999997"/>
    <n v="5273211"/>
    <n v="948"/>
  </r>
  <r>
    <x v="8"/>
    <x v="5"/>
    <x v="0"/>
    <n v="802"/>
    <n v="5391.54"/>
    <n v="4324011"/>
    <n v="745"/>
  </r>
  <r>
    <x v="5"/>
    <x v="8"/>
    <x v="1"/>
    <n v="219"/>
    <n v="6489.46"/>
    <n v="1421191"/>
    <n v="207"/>
  </r>
  <r>
    <x v="4"/>
    <x v="5"/>
    <x v="1"/>
    <n v="343"/>
    <n v="6409.87"/>
    <n v="2198584"/>
    <n v="303"/>
  </r>
  <r>
    <x v="9"/>
    <x v="2"/>
    <x v="2"/>
    <n v="216"/>
    <n v="20828.22"/>
    <n v="4498896"/>
    <n v="176"/>
  </r>
  <r>
    <x v="9"/>
    <x v="3"/>
    <x v="2"/>
    <n v="127"/>
    <n v="21020.49"/>
    <n v="2669602"/>
    <n v="91"/>
  </r>
  <r>
    <x v="7"/>
    <x v="0"/>
    <x v="3"/>
    <n v="901"/>
    <n v="1372.77"/>
    <n v="1236870"/>
    <n v="691"/>
  </r>
  <r>
    <x v="1"/>
    <x v="5"/>
    <x v="2"/>
    <n v="214"/>
    <n v="20305.919999999998"/>
    <n v="4345467"/>
    <n v="188"/>
  </r>
  <r>
    <x v="7"/>
    <x v="11"/>
    <x v="2"/>
    <n v="155"/>
    <n v="21613.64"/>
    <n v="3350114"/>
    <n v="114"/>
  </r>
  <r>
    <x v="2"/>
    <x v="10"/>
    <x v="2"/>
    <n v="164"/>
    <n v="22329.73"/>
    <n v="3662075"/>
    <n v="134"/>
  </r>
  <r>
    <x v="6"/>
    <x v="9"/>
    <x v="0"/>
    <n v="881"/>
    <n v="5368.18"/>
    <n v="4729370"/>
    <n v="802"/>
  </r>
  <r>
    <x v="6"/>
    <x v="11"/>
    <x v="0"/>
    <n v="698"/>
    <n v="5282.72"/>
    <n v="3687337"/>
    <n v="511"/>
  </r>
  <r>
    <x v="8"/>
    <x v="1"/>
    <x v="2"/>
    <n v="194"/>
    <n v="21755.63"/>
    <n v="4220592"/>
    <n v="164"/>
  </r>
  <r>
    <x v="8"/>
    <x v="4"/>
    <x v="2"/>
    <n v="182"/>
    <n v="21654.62"/>
    <n v="3941141"/>
    <n v="138"/>
  </r>
  <r>
    <x v="7"/>
    <x v="10"/>
    <x v="1"/>
    <n v="372"/>
    <n v="6289.42"/>
    <n v="2339665"/>
    <n v="322"/>
  </r>
  <r>
    <x v="3"/>
    <x v="3"/>
    <x v="1"/>
    <n v="271"/>
    <n v="6860.65"/>
    <n v="1859235"/>
    <n v="191"/>
  </r>
  <r>
    <x v="9"/>
    <x v="11"/>
    <x v="2"/>
    <n v="217"/>
    <n v="21085.67"/>
    <n v="4575590"/>
    <n v="196"/>
  </r>
  <r>
    <x v="8"/>
    <x v="9"/>
    <x v="0"/>
    <n v="1000"/>
    <n v="5478.57"/>
    <n v="5478565"/>
    <n v="733"/>
  </r>
  <r>
    <x v="0"/>
    <x v="4"/>
    <x v="0"/>
    <n v="1177"/>
    <n v="5340.62"/>
    <n v="6285913"/>
    <n v="1002"/>
  </r>
  <r>
    <x v="3"/>
    <x v="9"/>
    <x v="1"/>
    <n v="448"/>
    <n v="6714.87"/>
    <n v="3008263"/>
    <n v="371"/>
  </r>
  <r>
    <x v="2"/>
    <x v="3"/>
    <x v="2"/>
    <n v="205"/>
    <n v="20137.29"/>
    <n v="4128145"/>
    <n v="167"/>
  </r>
  <r>
    <x v="3"/>
    <x v="5"/>
    <x v="0"/>
    <n v="1049"/>
    <n v="5288.89"/>
    <n v="5548046"/>
    <n v="820"/>
  </r>
  <r>
    <x v="1"/>
    <x v="7"/>
    <x v="1"/>
    <n v="382"/>
    <n v="6170.76"/>
    <n v="2357231"/>
    <n v="334"/>
  </r>
  <r>
    <x v="5"/>
    <x v="2"/>
    <x v="3"/>
    <n v="1095"/>
    <n v="1349.99"/>
    <n v="1478238"/>
    <n v="879"/>
  </r>
  <r>
    <x v="1"/>
    <x v="9"/>
    <x v="0"/>
    <n v="660"/>
    <n v="5193.95"/>
    <n v="3428006"/>
    <n v="491"/>
  </r>
  <r>
    <x v="8"/>
    <x v="5"/>
    <x v="0"/>
    <n v="832"/>
    <n v="5141.43"/>
    <n v="4277666"/>
    <n v="656"/>
  </r>
  <r>
    <x v="3"/>
    <x v="10"/>
    <x v="2"/>
    <n v="144"/>
    <n v="20999.81"/>
    <n v="3023973"/>
    <n v="118"/>
  </r>
  <r>
    <x v="4"/>
    <x v="2"/>
    <x v="2"/>
    <n v="206"/>
    <n v="21281.11"/>
    <n v="4383909"/>
    <n v="191"/>
  </r>
  <r>
    <x v="6"/>
    <x v="6"/>
    <x v="3"/>
    <n v="656"/>
    <n v="1218.1500000000001"/>
    <n v="799107"/>
    <n v="620"/>
  </r>
  <r>
    <x v="2"/>
    <x v="5"/>
    <x v="2"/>
    <n v="127"/>
    <n v="20879.810000000001"/>
    <n v="2651736"/>
    <n v="100"/>
  </r>
  <r>
    <x v="2"/>
    <x v="11"/>
    <x v="0"/>
    <n v="1125"/>
    <n v="5473.37"/>
    <n v="6157541"/>
    <n v="998"/>
  </r>
  <r>
    <x v="3"/>
    <x v="6"/>
    <x v="2"/>
    <n v="214"/>
    <n v="21876.83"/>
    <n v="4681642"/>
    <n v="162"/>
  </r>
  <r>
    <x v="7"/>
    <x v="1"/>
    <x v="0"/>
    <n v="627"/>
    <n v="5170.6899999999996"/>
    <n v="3242020"/>
    <n v="457"/>
  </r>
  <r>
    <x v="6"/>
    <x v="0"/>
    <x v="0"/>
    <n v="1179"/>
    <n v="5083.6899999999996"/>
    <n v="5993671"/>
    <n v="929"/>
  </r>
  <r>
    <x v="7"/>
    <x v="11"/>
    <x v="1"/>
    <n v="427"/>
    <n v="7412.3"/>
    <n v="3165052"/>
    <n v="378"/>
  </r>
  <r>
    <x v="6"/>
    <x v="3"/>
    <x v="1"/>
    <n v="241"/>
    <n v="7004.36"/>
    <n v="1688051"/>
    <n v="185"/>
  </r>
  <r>
    <x v="4"/>
    <x v="0"/>
    <x v="2"/>
    <n v="163"/>
    <n v="19968.98"/>
    <n v="3254943"/>
    <n v="154"/>
  </r>
  <r>
    <x v="8"/>
    <x v="7"/>
    <x v="0"/>
    <n v="1036"/>
    <n v="5488.26"/>
    <n v="5685834"/>
    <n v="751"/>
  </r>
  <r>
    <x v="4"/>
    <x v="5"/>
    <x v="1"/>
    <n v="311"/>
    <n v="6585.43"/>
    <n v="2048068"/>
    <n v="239"/>
  </r>
  <r>
    <x v="2"/>
    <x v="1"/>
    <x v="0"/>
    <n v="842"/>
    <n v="5217.3100000000004"/>
    <n v="4392975"/>
    <n v="593"/>
  </r>
  <r>
    <x v="8"/>
    <x v="0"/>
    <x v="3"/>
    <n v="622"/>
    <n v="1217.4000000000001"/>
    <n v="757221"/>
    <n v="578"/>
  </r>
  <r>
    <x v="4"/>
    <x v="5"/>
    <x v="0"/>
    <n v="1103"/>
    <n v="5481.57"/>
    <n v="6046177"/>
    <n v="971"/>
  </r>
  <r>
    <x v="7"/>
    <x v="11"/>
    <x v="1"/>
    <n v="402"/>
    <n v="6199.18"/>
    <n v="2492070"/>
    <n v="358"/>
  </r>
  <r>
    <x v="4"/>
    <x v="6"/>
    <x v="2"/>
    <n v="167"/>
    <n v="21934.69"/>
    <n v="3663093"/>
    <n v="134"/>
  </r>
  <r>
    <x v="6"/>
    <x v="0"/>
    <x v="0"/>
    <n v="739"/>
    <n v="5351.94"/>
    <n v="3955087"/>
    <n v="570"/>
  </r>
  <r>
    <x v="8"/>
    <x v="9"/>
    <x v="1"/>
    <n v="458"/>
    <n v="6428.71"/>
    <n v="2944347"/>
    <n v="326"/>
  </r>
  <r>
    <x v="3"/>
    <x v="2"/>
    <x v="2"/>
    <n v="104"/>
    <n v="22305.03"/>
    <n v="2319724"/>
    <n v="79"/>
  </r>
  <r>
    <x v="8"/>
    <x v="7"/>
    <x v="0"/>
    <n v="1149"/>
    <n v="5184.62"/>
    <n v="5957130"/>
    <n v="922"/>
  </r>
  <r>
    <x v="6"/>
    <x v="4"/>
    <x v="2"/>
    <n v="177"/>
    <n v="21093.279999999999"/>
    <n v="3733510"/>
    <n v="164"/>
  </r>
  <r>
    <x v="4"/>
    <x v="3"/>
    <x v="3"/>
    <n v="748"/>
    <n v="1075.82"/>
    <n v="804710"/>
    <n v="549"/>
  </r>
  <r>
    <x v="7"/>
    <x v="4"/>
    <x v="2"/>
    <n v="159"/>
    <n v="21245.22"/>
    <n v="3377990"/>
    <n v="143"/>
  </r>
  <r>
    <x v="9"/>
    <x v="0"/>
    <x v="0"/>
    <n v="641"/>
    <n v="5236.1899999999996"/>
    <n v="3356397"/>
    <n v="511"/>
  </r>
  <r>
    <x v="2"/>
    <x v="2"/>
    <x v="1"/>
    <n v="303"/>
    <n v="6497.08"/>
    <n v="1968614"/>
    <n v="234"/>
  </r>
  <r>
    <x v="0"/>
    <x v="10"/>
    <x v="0"/>
    <n v="744"/>
    <n v="4853.93"/>
    <n v="3611327"/>
    <n v="688"/>
  </r>
  <r>
    <x v="0"/>
    <x v="11"/>
    <x v="2"/>
    <n v="152"/>
    <n v="21688.49"/>
    <n v="3296651"/>
    <n v="110"/>
  </r>
  <r>
    <x v="4"/>
    <x v="8"/>
    <x v="1"/>
    <n v="378"/>
    <n v="6931.26"/>
    <n v="2620016"/>
    <n v="296"/>
  </r>
  <r>
    <x v="5"/>
    <x v="10"/>
    <x v="3"/>
    <n v="877"/>
    <n v="1218.19"/>
    <n v="1068350"/>
    <n v="647"/>
  </r>
  <r>
    <x v="6"/>
    <x v="4"/>
    <x v="1"/>
    <n v="488"/>
    <n v="6774.47"/>
    <n v="3305939"/>
    <n v="345"/>
  </r>
  <r>
    <x v="4"/>
    <x v="11"/>
    <x v="2"/>
    <n v="104"/>
    <n v="21221.98"/>
    <n v="2207086"/>
    <n v="94"/>
  </r>
  <r>
    <x v="5"/>
    <x v="2"/>
    <x v="3"/>
    <n v="1095"/>
    <n v="1282.9100000000001"/>
    <n v="1404791"/>
    <n v="904"/>
  </r>
  <r>
    <x v="2"/>
    <x v="4"/>
    <x v="0"/>
    <n v="646"/>
    <n v="5582.85"/>
    <n v="3606521"/>
    <n v="454"/>
  </r>
  <r>
    <x v="1"/>
    <x v="8"/>
    <x v="3"/>
    <n v="691"/>
    <n v="1152.6400000000001"/>
    <n v="796475"/>
    <n v="607"/>
  </r>
  <r>
    <x v="8"/>
    <x v="0"/>
    <x v="1"/>
    <n v="453"/>
    <n v="6751.18"/>
    <n v="3058284"/>
    <n v="362"/>
  </r>
  <r>
    <x v="9"/>
    <x v="9"/>
    <x v="3"/>
    <n v="617"/>
    <n v="1283.56"/>
    <n v="791954"/>
    <n v="522"/>
  </r>
  <r>
    <x v="3"/>
    <x v="7"/>
    <x v="0"/>
    <n v="1059"/>
    <n v="5540.99"/>
    <n v="5867913"/>
    <n v="840"/>
  </r>
  <r>
    <x v="7"/>
    <x v="5"/>
    <x v="1"/>
    <n v="228"/>
    <n v="6901.73"/>
    <n v="1573594"/>
    <n v="165"/>
  </r>
  <r>
    <x v="7"/>
    <x v="5"/>
    <x v="1"/>
    <n v="456"/>
    <n v="7461.61"/>
    <n v="3402493"/>
    <n v="364"/>
  </r>
  <r>
    <x v="7"/>
    <x v="4"/>
    <x v="0"/>
    <n v="801"/>
    <n v="5404.79"/>
    <n v="4329237"/>
    <n v="721"/>
  </r>
  <r>
    <x v="8"/>
    <x v="6"/>
    <x v="0"/>
    <n v="1174"/>
    <n v="5510.36"/>
    <n v="6469159"/>
    <n v="1092"/>
  </r>
  <r>
    <x v="0"/>
    <x v="11"/>
    <x v="1"/>
    <n v="216"/>
    <n v="6625.79"/>
    <n v="1431171"/>
    <n v="182"/>
  </r>
  <r>
    <x v="1"/>
    <x v="5"/>
    <x v="3"/>
    <n v="424"/>
    <n v="930.31"/>
    <n v="394452"/>
    <n v="393"/>
  </r>
  <r>
    <x v="6"/>
    <x v="9"/>
    <x v="2"/>
    <n v="213"/>
    <n v="21456.560000000001"/>
    <n v="4570248"/>
    <n v="184"/>
  </r>
  <r>
    <x v="0"/>
    <x v="10"/>
    <x v="3"/>
    <n v="760"/>
    <n v="1173.1099999999999"/>
    <n v="891564"/>
    <n v="548"/>
  </r>
  <r>
    <x v="2"/>
    <x v="10"/>
    <x v="1"/>
    <n v="456"/>
    <n v="6368.04"/>
    <n v="2903827"/>
    <n v="354"/>
  </r>
  <r>
    <x v="0"/>
    <x v="8"/>
    <x v="1"/>
    <n v="410"/>
    <n v="6565.59"/>
    <n v="2691893"/>
    <n v="351"/>
  </r>
  <r>
    <x v="2"/>
    <x v="8"/>
    <x v="2"/>
    <n v="100"/>
    <n v="19800.72"/>
    <n v="1980072"/>
    <n v="89"/>
  </r>
  <r>
    <x v="3"/>
    <x v="11"/>
    <x v="2"/>
    <n v="212"/>
    <n v="22496.87"/>
    <n v="4769336"/>
    <n v="156"/>
  </r>
  <r>
    <x v="6"/>
    <x v="2"/>
    <x v="0"/>
    <n v="654"/>
    <n v="4885.32"/>
    <n v="3195001"/>
    <n v="612"/>
  </r>
  <r>
    <x v="9"/>
    <x v="6"/>
    <x v="1"/>
    <n v="361"/>
    <n v="6591.43"/>
    <n v="2379507"/>
    <n v="266"/>
  </r>
  <r>
    <x v="3"/>
    <x v="1"/>
    <x v="0"/>
    <n v="607"/>
    <n v="5286.08"/>
    <n v="3208652"/>
    <n v="429"/>
  </r>
  <r>
    <x v="0"/>
    <x v="8"/>
    <x v="3"/>
    <n v="842"/>
    <n v="1457.14"/>
    <n v="1226910"/>
    <n v="660"/>
  </r>
  <r>
    <x v="8"/>
    <x v="8"/>
    <x v="1"/>
    <n v="296"/>
    <n v="6744.7"/>
    <n v="1996432"/>
    <n v="248"/>
  </r>
  <r>
    <x v="2"/>
    <x v="11"/>
    <x v="1"/>
    <n v="295"/>
    <n v="6703.9"/>
    <n v="1977651"/>
    <n v="266"/>
  </r>
  <r>
    <x v="5"/>
    <x v="0"/>
    <x v="0"/>
    <n v="781"/>
    <n v="5312.31"/>
    <n v="4148917"/>
    <n v="586"/>
  </r>
  <r>
    <x v="0"/>
    <x v="11"/>
    <x v="1"/>
    <n v="462"/>
    <n v="6906.65"/>
    <n v="3190873"/>
    <n v="337"/>
  </r>
  <r>
    <x v="1"/>
    <x v="0"/>
    <x v="0"/>
    <n v="681"/>
    <n v="5393.36"/>
    <n v="3672876"/>
    <n v="628"/>
  </r>
  <r>
    <x v="8"/>
    <x v="0"/>
    <x v="1"/>
    <n v="433"/>
    <n v="6562.45"/>
    <n v="2841539"/>
    <n v="306"/>
  </r>
  <r>
    <x v="5"/>
    <x v="4"/>
    <x v="0"/>
    <n v="855"/>
    <n v="5517.71"/>
    <n v="4717640"/>
    <n v="716"/>
  </r>
  <r>
    <x v="3"/>
    <x v="4"/>
    <x v="3"/>
    <n v="899"/>
    <n v="1216.6400000000001"/>
    <n v="1093761"/>
    <n v="850"/>
  </r>
  <r>
    <x v="0"/>
    <x v="10"/>
    <x v="2"/>
    <n v="214"/>
    <n v="20719.22"/>
    <n v="4433912"/>
    <n v="177"/>
  </r>
  <r>
    <x v="7"/>
    <x v="2"/>
    <x v="2"/>
    <n v="124"/>
    <n v="21001.72"/>
    <n v="2604213"/>
    <n v="112"/>
  </r>
  <r>
    <x v="5"/>
    <x v="6"/>
    <x v="2"/>
    <n v="128"/>
    <n v="21165.49"/>
    <n v="2709182"/>
    <n v="95"/>
  </r>
  <r>
    <x v="0"/>
    <x v="4"/>
    <x v="1"/>
    <n v="345"/>
    <n v="7104.02"/>
    <n v="2450888"/>
    <n v="284"/>
  </r>
  <r>
    <x v="3"/>
    <x v="10"/>
    <x v="0"/>
    <n v="752"/>
    <n v="5325.36"/>
    <n v="4004670"/>
    <n v="619"/>
  </r>
  <r>
    <x v="0"/>
    <x v="4"/>
    <x v="2"/>
    <n v="185"/>
    <n v="21704.82"/>
    <n v="4015392"/>
    <n v="157"/>
  </r>
  <r>
    <x v="7"/>
    <x v="4"/>
    <x v="1"/>
    <n v="372"/>
    <n v="6994.81"/>
    <n v="2602068"/>
    <n v="338"/>
  </r>
  <r>
    <x v="8"/>
    <x v="3"/>
    <x v="2"/>
    <n v="221"/>
    <n v="20016.169999999998"/>
    <n v="4423574"/>
    <n v="207"/>
  </r>
  <r>
    <x v="6"/>
    <x v="8"/>
    <x v="0"/>
    <n v="891"/>
    <n v="5102.08"/>
    <n v="4545956"/>
    <n v="795"/>
  </r>
  <r>
    <x v="8"/>
    <x v="9"/>
    <x v="3"/>
    <n v="410"/>
    <n v="1334.13"/>
    <n v="546994"/>
    <n v="317"/>
  </r>
  <r>
    <x v="1"/>
    <x v="5"/>
    <x v="2"/>
    <n v="154"/>
    <n v="20792.98"/>
    <n v="3202119"/>
    <n v="133"/>
  </r>
  <r>
    <x v="4"/>
    <x v="5"/>
    <x v="0"/>
    <n v="911"/>
    <n v="5421.51"/>
    <n v="4938999"/>
    <n v="649"/>
  </r>
  <r>
    <x v="3"/>
    <x v="7"/>
    <x v="2"/>
    <n v="172"/>
    <n v="20284.66"/>
    <n v="3488961"/>
    <n v="123"/>
  </r>
  <r>
    <x v="6"/>
    <x v="10"/>
    <x v="0"/>
    <n v="660"/>
    <n v="5174.6099999999997"/>
    <n v="3415240"/>
    <n v="502"/>
  </r>
  <r>
    <x v="1"/>
    <x v="11"/>
    <x v="0"/>
    <n v="707"/>
    <n v="5662.49"/>
    <n v="4003380"/>
    <n v="617"/>
  </r>
  <r>
    <x v="4"/>
    <x v="11"/>
    <x v="3"/>
    <n v="674"/>
    <n v="1298.57"/>
    <n v="875238"/>
    <n v="633"/>
  </r>
  <r>
    <x v="6"/>
    <x v="6"/>
    <x v="0"/>
    <n v="1096"/>
    <n v="5181.1099999999997"/>
    <n v="5678493"/>
    <n v="817"/>
  </r>
  <r>
    <x v="2"/>
    <x v="8"/>
    <x v="3"/>
    <n v="1060"/>
    <n v="1280.48"/>
    <n v="1357309"/>
    <n v="910"/>
  </r>
  <r>
    <x v="2"/>
    <x v="7"/>
    <x v="2"/>
    <n v="188"/>
    <n v="22244.2"/>
    <n v="4181910"/>
    <n v="161"/>
  </r>
  <r>
    <x v="10"/>
    <x v="12"/>
    <x v="4"/>
    <m/>
    <m/>
    <m/>
    <m/>
  </r>
  <r>
    <x v="10"/>
    <x v="12"/>
    <x v="4"/>
    <m/>
    <m/>
    <m/>
    <m/>
  </r>
  <r>
    <x v="10"/>
    <x v="12"/>
    <x v="4"/>
    <m/>
    <m/>
    <m/>
    <m/>
  </r>
  <r>
    <x v="10"/>
    <x v="12"/>
    <x v="4"/>
    <m/>
    <m/>
    <m/>
    <m/>
  </r>
  <r>
    <x v="10"/>
    <x v="12"/>
    <x v="4"/>
    <m/>
    <m/>
    <m/>
    <m/>
  </r>
  <r>
    <x v="10"/>
    <x v="12"/>
    <x v="4"/>
    <m/>
    <m/>
    <m/>
    <m/>
  </r>
  <r>
    <x v="10"/>
    <x v="12"/>
    <x v="4"/>
    <m/>
    <m/>
    <m/>
    <m/>
  </r>
  <r>
    <x v="10"/>
    <x v="12"/>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84F19C-C331-4D62-97D6-11ED65D883D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7" firstHeaderRow="1" firstDataRow="1" firstDataCol="1"/>
  <pivotFields count="7">
    <pivotField showAll="0"/>
    <pivotField axis="axisRow" showAll="0" sortType="ascending">
      <items count="14">
        <item x="10"/>
        <item x="11"/>
        <item x="8"/>
        <item x="0"/>
        <item x="4"/>
        <item x="5"/>
        <item x="1"/>
        <item x="2"/>
        <item x="7"/>
        <item x="6"/>
        <item x="9"/>
        <item x="3"/>
        <item x="12"/>
        <item t="default"/>
      </items>
    </pivotField>
    <pivotField showAll="0">
      <items count="6">
        <item x="3"/>
        <item x="2"/>
        <item x="0"/>
        <item x="1"/>
        <item x="4"/>
        <item t="default"/>
      </items>
    </pivotField>
    <pivotField showAll="0"/>
    <pivotField showAll="0"/>
    <pivotField dataField="1" showAll="0"/>
    <pivotField showAll="0"/>
  </pivotFields>
  <rowFields count="1">
    <field x="1"/>
  </rowFields>
  <rowItems count="14">
    <i>
      <x/>
    </i>
    <i>
      <x v="1"/>
    </i>
    <i>
      <x v="2"/>
    </i>
    <i>
      <x v="3"/>
    </i>
    <i>
      <x v="4"/>
    </i>
    <i>
      <x v="5"/>
    </i>
    <i>
      <x v="6"/>
    </i>
    <i>
      <x v="7"/>
    </i>
    <i>
      <x v="8"/>
    </i>
    <i>
      <x v="9"/>
    </i>
    <i>
      <x v="10"/>
    </i>
    <i>
      <x v="11"/>
    </i>
    <i>
      <x v="12"/>
    </i>
    <i t="grand">
      <x/>
    </i>
  </rowItems>
  <colItems count="1">
    <i/>
  </colItems>
  <dataFields count="1">
    <dataField name="Sum of Total_Sales" fld="5" baseField="1" baseItem="0"/>
  </dataFields>
  <conditionalFormats count="3">
    <conditionalFormat priority="1">
      <pivotAreas count="1">
        <pivotArea type="data" collapsedLevelsAreSubtotals="1" fieldPosition="0">
          <references count="2">
            <reference field="4294967294" count="1" selected="0">
              <x v="0"/>
            </reference>
            <reference field="1" count="12">
              <x v="0"/>
              <x v="1"/>
              <x v="2"/>
              <x v="3"/>
              <x v="4"/>
              <x v="5"/>
              <x v="6"/>
              <x v="7"/>
              <x v="8"/>
              <x v="9"/>
              <x v="10"/>
              <x v="11"/>
            </reference>
          </references>
        </pivotArea>
      </pivotAreas>
    </conditionalFormat>
    <conditionalFormat priority="3">
      <pivotAreas count="1">
        <pivotArea type="data" collapsedLevelsAreSubtotals="1" fieldPosition="0">
          <references count="2">
            <reference field="4294967294" count="1" selected="0">
              <x v="0"/>
            </reference>
            <reference field="1" count="12">
              <x v="0"/>
              <x v="1"/>
              <x v="2"/>
              <x v="3"/>
              <x v="4"/>
              <x v="5"/>
              <x v="6"/>
              <x v="7"/>
              <x v="8"/>
              <x v="9"/>
              <x v="10"/>
              <x v="11"/>
            </reference>
          </references>
        </pivotArea>
      </pivotAreas>
    </conditionalFormat>
    <conditionalFormat priority="4">
      <pivotAreas count="1">
        <pivotArea type="data" collapsedLevelsAreSubtotals="1" fieldPosition="0">
          <references count="2">
            <reference field="4294967294" count="1" selected="0">
              <x v="0"/>
            </reference>
            <reference field="1" count="12">
              <x v="0"/>
              <x v="1"/>
              <x v="2"/>
              <x v="3"/>
              <x v="4"/>
              <x v="5"/>
              <x v="6"/>
              <x v="7"/>
              <x v="8"/>
              <x v="9"/>
              <x v="10"/>
              <x v="11"/>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29C643-94E6-4FAB-BAAF-D0F9F2E0481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5" firstHeaderRow="1" firstDataRow="1" firstDataCol="1"/>
  <pivotFields count="7">
    <pivotField axis="axisRow" showAll="0">
      <items count="12">
        <item x="2"/>
        <item x="1"/>
        <item x="5"/>
        <item x="3"/>
        <item x="0"/>
        <item x="9"/>
        <item x="4"/>
        <item x="6"/>
        <item x="8"/>
        <item x="7"/>
        <item x="10"/>
        <item t="default"/>
      </items>
    </pivotField>
    <pivotField showAll="0">
      <items count="14">
        <item x="10"/>
        <item x="11"/>
        <item x="8"/>
        <item x="0"/>
        <item x="4"/>
        <item x="5"/>
        <item x="1"/>
        <item x="2"/>
        <item x="7"/>
        <item x="6"/>
        <item x="9"/>
        <item x="3"/>
        <item x="12"/>
        <item t="default"/>
      </items>
    </pivotField>
    <pivotField showAll="0">
      <items count="6">
        <item x="3"/>
        <item x="2"/>
        <item x="0"/>
        <item x="1"/>
        <item x="4"/>
        <item t="default"/>
      </items>
    </pivotField>
    <pivotField showAll="0"/>
    <pivotField showAll="0"/>
    <pivotField dataField="1" showAll="0"/>
    <pivotField showAll="0"/>
  </pivotFields>
  <rowFields count="1">
    <field x="0"/>
  </rowFields>
  <rowItems count="12">
    <i>
      <x/>
    </i>
    <i>
      <x v="1"/>
    </i>
    <i>
      <x v="2"/>
    </i>
    <i>
      <x v="3"/>
    </i>
    <i>
      <x v="4"/>
    </i>
    <i>
      <x v="5"/>
    </i>
    <i>
      <x v="6"/>
    </i>
    <i>
      <x v="7"/>
    </i>
    <i>
      <x v="8"/>
    </i>
    <i>
      <x v="9"/>
    </i>
    <i>
      <x v="10"/>
    </i>
    <i t="grand">
      <x/>
    </i>
  </rowItems>
  <colItems count="1">
    <i/>
  </colItems>
  <dataFields count="1">
    <dataField name="Sum of Total_Sales" fld="5" baseField="0" baseItem="0"/>
  </dataFields>
  <conditionalFormats count="1">
    <conditionalFormat priority="1">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2F0B70-F1E2-4A09-BC6F-E3DB02638DE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7">
    <pivotField showAll="0"/>
    <pivotField showAll="0">
      <items count="14">
        <item x="10"/>
        <item x="11"/>
        <item x="8"/>
        <item x="0"/>
        <item x="4"/>
        <item x="5"/>
        <item x="1"/>
        <item x="2"/>
        <item x="7"/>
        <item x="6"/>
        <item x="9"/>
        <item x="3"/>
        <item x="12"/>
        <item t="default"/>
      </items>
    </pivotField>
    <pivotField axis="axisRow" showAll="0">
      <items count="6">
        <item x="3"/>
        <item x="2"/>
        <item x="0"/>
        <item x="1"/>
        <item x="4"/>
        <item t="default"/>
      </items>
    </pivotField>
    <pivotField showAll="0"/>
    <pivotField showAll="0"/>
    <pivotField dataField="1" showAll="0"/>
    <pivotField showAll="0"/>
  </pivotFields>
  <rowFields count="1">
    <field x="2"/>
  </rowFields>
  <rowItems count="6">
    <i>
      <x/>
    </i>
    <i>
      <x v="1"/>
    </i>
    <i>
      <x v="2"/>
    </i>
    <i>
      <x v="3"/>
    </i>
    <i>
      <x v="4"/>
    </i>
    <i t="grand">
      <x/>
    </i>
  </rowItems>
  <colItems count="1">
    <i/>
  </colItems>
  <dataFields count="1">
    <dataField name="Sum of Total_Sales" fld="5" baseField="0" baseItem="0"/>
  </dataFields>
  <conditionalFormats count="1">
    <conditionalFormat priority="1">
      <pivotAreas count="1">
        <pivotArea type="data" collapsedLevelsAreSubtotals="1" fieldPosition="0">
          <references count="2">
            <reference field="4294967294" count="1" selected="0">
              <x v="0"/>
            </reference>
            <reference field="2" count="4">
              <x v="0"/>
              <x v="1"/>
              <x v="2"/>
              <x v="3"/>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D585A072-3C29-438F-8CC5-4E1B31802735}" sourceName="Month">
  <pivotTables>
    <pivotTable tabId="8" name="PivotTable7"/>
  </pivotTables>
  <data>
    <tabular pivotCacheId="1183925467">
      <items count="13">
        <i x="10" s="1"/>
        <i x="11" s="1"/>
        <i x="8" s="1"/>
        <i x="0" s="1"/>
        <i x="4" s="1"/>
        <i x="5" s="1"/>
        <i x="1" s="1"/>
        <i x="2" s="1"/>
        <i x="7" s="1"/>
        <i x="6" s="1"/>
        <i x="9" s="1"/>
        <i x="3"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BFF5857-5BF2-4727-8FA7-7366B8C1BF8D}" sourceName="Product_Category">
  <pivotTables>
    <pivotTable tabId="8" name="PivotTable7"/>
  </pivotTables>
  <data>
    <tabular pivotCacheId="1183925467">
      <items count="5">
        <i x="3" s="1"/>
        <i x="2" s="1"/>
        <i x="0" s="1"/>
        <i x="1"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2B83436-C41F-4CE0-94ED-08FA3E107653}" cache="Slicer_Month" caption="Month" rowHeight="234950"/>
  <slicer name="Product_Category" xr10:uid="{55A7325F-9DA7-4989-B505-FA9DA036252C}" cache="Slicer_Product_Category" caption="Product_Category"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
  <sheetViews>
    <sheetView topLeftCell="A37" workbookViewId="0">
      <selection activeCell="L7" sqref="L7"/>
    </sheetView>
  </sheetViews>
  <sheetFormatPr defaultColWidth="14.44140625" defaultRowHeight="15" customHeight="1"/>
  <cols>
    <col min="1" max="1" width="11.44140625" customWidth="1"/>
    <col min="2" max="2" width="7" customWidth="1"/>
    <col min="3" max="3" width="16.6640625" customWidth="1"/>
    <col min="4" max="4" width="10.5546875" customWidth="1"/>
    <col min="5" max="5" width="10.33203125" customWidth="1"/>
    <col min="6" max="6" width="10.88671875" customWidth="1"/>
    <col min="7" max="8" width="15.88671875" customWidth="1"/>
    <col min="9" max="10" width="15.109375" customWidth="1"/>
    <col min="11" max="11" width="17" customWidth="1"/>
    <col min="12" max="12" width="15" customWidth="1"/>
    <col min="13" max="13" width="21.21875" customWidth="1"/>
    <col min="14" max="14" width="20.109375" customWidth="1"/>
    <col min="15" max="29" width="8.6640625" customWidth="1"/>
  </cols>
  <sheetData>
    <row r="1" spans="1:17" ht="28.8">
      <c r="A1" s="1" t="s">
        <v>0</v>
      </c>
      <c r="B1" s="1" t="s">
        <v>1</v>
      </c>
      <c r="C1" s="1" t="s">
        <v>2</v>
      </c>
      <c r="D1" s="1" t="s">
        <v>3</v>
      </c>
      <c r="E1" s="1" t="s">
        <v>4</v>
      </c>
      <c r="F1" s="1" t="s">
        <v>5</v>
      </c>
      <c r="G1" s="1" t="s">
        <v>6</v>
      </c>
      <c r="H1" s="9"/>
      <c r="I1" s="29" t="s">
        <v>44</v>
      </c>
      <c r="J1" s="30" t="s">
        <v>47</v>
      </c>
      <c r="K1" s="31" t="s">
        <v>42</v>
      </c>
      <c r="L1" s="10"/>
    </row>
    <row r="2" spans="1:17" ht="14.4">
      <c r="A2" s="2" t="s">
        <v>7</v>
      </c>
      <c r="B2" s="2" t="s">
        <v>8</v>
      </c>
      <c r="C2" s="2" t="s">
        <v>9</v>
      </c>
      <c r="D2" s="2">
        <v>870</v>
      </c>
      <c r="E2" s="2">
        <v>5429.54</v>
      </c>
      <c r="F2" s="2">
        <v>4723698</v>
      </c>
      <c r="G2" s="2">
        <v>642</v>
      </c>
      <c r="H2" s="2"/>
      <c r="I2" s="21">
        <f>D2/G2</f>
        <v>1.3551401869158879</v>
      </c>
      <c r="J2" s="32" t="s">
        <v>31</v>
      </c>
      <c r="K2" s="21">
        <f>SUMIFS($F:$F, $B:$B,J2 )</f>
        <v>41857858</v>
      </c>
      <c r="M2" s="6"/>
    </row>
    <row r="3" spans="1:17" ht="18">
      <c r="A3" s="2" t="s">
        <v>10</v>
      </c>
      <c r="B3" s="2" t="s">
        <v>11</v>
      </c>
      <c r="C3" s="2" t="s">
        <v>12</v>
      </c>
      <c r="D3" s="2">
        <v>287</v>
      </c>
      <c r="E3" s="2">
        <v>7156.91</v>
      </c>
      <c r="F3" s="2">
        <v>2054033</v>
      </c>
      <c r="G3" s="2">
        <v>224</v>
      </c>
      <c r="H3" s="2"/>
      <c r="I3" s="21">
        <f t="shared" ref="I3:I66" si="0">D3/G3</f>
        <v>1.28125</v>
      </c>
      <c r="J3" s="32" t="s">
        <v>32</v>
      </c>
      <c r="K3" s="21">
        <f t="shared" ref="K3:K13" si="1">SUMIFS($F:$F, $B:$B,J3 )</f>
        <v>55905036</v>
      </c>
      <c r="M3" s="33" t="s">
        <v>37</v>
      </c>
      <c r="N3" s="33" t="s">
        <v>41</v>
      </c>
    </row>
    <row r="4" spans="1:17" ht="18">
      <c r="A4" s="2" t="s">
        <v>13</v>
      </c>
      <c r="B4" s="2" t="s">
        <v>14</v>
      </c>
      <c r="C4" s="2" t="s">
        <v>12</v>
      </c>
      <c r="D4" s="2">
        <v>349</v>
      </c>
      <c r="E4" s="2">
        <v>6723.95</v>
      </c>
      <c r="F4" s="2">
        <v>2346658</v>
      </c>
      <c r="G4" s="2">
        <v>326</v>
      </c>
      <c r="H4" s="2"/>
      <c r="I4" s="21">
        <f t="shared" si="0"/>
        <v>1.0705521472392638</v>
      </c>
      <c r="J4" s="32" t="s">
        <v>28</v>
      </c>
      <c r="K4" s="21">
        <f t="shared" si="1"/>
        <v>45259129</v>
      </c>
      <c r="M4" s="34"/>
      <c r="N4" s="35"/>
    </row>
    <row r="5" spans="1:17" ht="36">
      <c r="A5" s="2" t="s">
        <v>15</v>
      </c>
      <c r="B5" s="2" t="s">
        <v>16</v>
      </c>
      <c r="C5" s="2" t="s">
        <v>9</v>
      </c>
      <c r="D5" s="2">
        <v>760</v>
      </c>
      <c r="E5" s="2">
        <v>5268.1</v>
      </c>
      <c r="F5" s="2">
        <v>4003753</v>
      </c>
      <c r="G5" s="2">
        <v>589</v>
      </c>
      <c r="H5" s="2"/>
      <c r="I5" s="21">
        <f t="shared" si="0"/>
        <v>1.2903225806451613</v>
      </c>
      <c r="J5" s="32" t="s">
        <v>8</v>
      </c>
      <c r="K5" s="21">
        <f t="shared" si="1"/>
        <v>63959180</v>
      </c>
      <c r="M5" s="34" t="s">
        <v>43</v>
      </c>
      <c r="N5" s="36">
        <f>AVERAGE(E2:E201)</f>
        <v>8379.0005000000019</v>
      </c>
    </row>
    <row r="6" spans="1:17" ht="18">
      <c r="A6" s="2" t="s">
        <v>17</v>
      </c>
      <c r="B6" s="2" t="s">
        <v>16</v>
      </c>
      <c r="C6" s="2" t="s">
        <v>9</v>
      </c>
      <c r="D6" s="2">
        <v>1160</v>
      </c>
      <c r="E6" s="2">
        <v>4812.18</v>
      </c>
      <c r="F6" s="2">
        <v>5582127</v>
      </c>
      <c r="G6" s="2">
        <v>825</v>
      </c>
      <c r="H6" s="2"/>
      <c r="I6" s="21">
        <f t="shared" si="0"/>
        <v>1.406060606060606</v>
      </c>
      <c r="J6" s="32" t="s">
        <v>18</v>
      </c>
      <c r="K6" s="21">
        <f t="shared" si="1"/>
        <v>57749181</v>
      </c>
      <c r="M6" s="34" t="s">
        <v>46</v>
      </c>
      <c r="N6" s="35">
        <f>SUM(D2:D201)</f>
        <v>117278</v>
      </c>
    </row>
    <row r="7" spans="1:17" ht="18">
      <c r="A7" s="2" t="s">
        <v>10</v>
      </c>
      <c r="B7" s="2" t="s">
        <v>16</v>
      </c>
      <c r="C7" s="2" t="s">
        <v>12</v>
      </c>
      <c r="D7" s="2">
        <v>443</v>
      </c>
      <c r="E7" s="2">
        <v>6881.03</v>
      </c>
      <c r="F7" s="2">
        <v>3048297</v>
      </c>
      <c r="G7" s="2">
        <v>375</v>
      </c>
      <c r="H7" s="2"/>
      <c r="I7" s="21">
        <f t="shared" si="0"/>
        <v>1.1813333333333333</v>
      </c>
      <c r="J7" s="32" t="s">
        <v>22</v>
      </c>
      <c r="K7" s="21">
        <f t="shared" si="1"/>
        <v>68413072</v>
      </c>
      <c r="M7" s="34" t="s">
        <v>45</v>
      </c>
      <c r="N7" s="35">
        <f>SUM(G2:G201)</f>
        <v>96675</v>
      </c>
    </row>
    <row r="8" spans="1:17" ht="14.4">
      <c r="A8" s="2" t="s">
        <v>10</v>
      </c>
      <c r="B8" s="2" t="s">
        <v>18</v>
      </c>
      <c r="C8" s="2" t="s">
        <v>12</v>
      </c>
      <c r="D8" s="2">
        <v>334</v>
      </c>
      <c r="E8" s="2">
        <v>6519.92</v>
      </c>
      <c r="F8" s="2">
        <v>2177655</v>
      </c>
      <c r="G8" s="2">
        <v>241</v>
      </c>
      <c r="H8" s="2"/>
      <c r="I8" s="21">
        <f t="shared" si="0"/>
        <v>1.3858921161825726</v>
      </c>
      <c r="J8" s="32" t="s">
        <v>11</v>
      </c>
      <c r="K8" s="21">
        <f t="shared" si="1"/>
        <v>49702035</v>
      </c>
      <c r="M8" s="29"/>
      <c r="N8" s="21"/>
    </row>
    <row r="9" spans="1:17" ht="18">
      <c r="A9" s="2" t="s">
        <v>19</v>
      </c>
      <c r="B9" s="2" t="s">
        <v>16</v>
      </c>
      <c r="C9" s="2" t="s">
        <v>12</v>
      </c>
      <c r="D9" s="2">
        <v>463</v>
      </c>
      <c r="E9" s="2">
        <v>6984.23</v>
      </c>
      <c r="F9" s="2">
        <v>3233699</v>
      </c>
      <c r="G9" s="2">
        <v>328</v>
      </c>
      <c r="H9" s="2"/>
      <c r="I9" s="21">
        <f t="shared" si="0"/>
        <v>1.4115853658536586</v>
      </c>
      <c r="J9" s="32" t="s">
        <v>14</v>
      </c>
      <c r="K9" s="21">
        <f t="shared" si="1"/>
        <v>53305738</v>
      </c>
      <c r="M9" s="34" t="s">
        <v>57</v>
      </c>
      <c r="N9" s="21">
        <f>SUM(F2:F201)</f>
        <v>636065396</v>
      </c>
    </row>
    <row r="10" spans="1:17" ht="36">
      <c r="A10" s="2" t="s">
        <v>20</v>
      </c>
      <c r="B10" s="2" t="s">
        <v>8</v>
      </c>
      <c r="C10" s="2" t="s">
        <v>21</v>
      </c>
      <c r="D10" s="2">
        <v>203</v>
      </c>
      <c r="E10" s="2">
        <v>21142.61</v>
      </c>
      <c r="F10" s="2">
        <v>4291949</v>
      </c>
      <c r="G10" s="2">
        <v>152</v>
      </c>
      <c r="H10" s="2"/>
      <c r="I10" s="21">
        <f t="shared" si="0"/>
        <v>1.3355263157894737</v>
      </c>
      <c r="J10" s="32" t="s">
        <v>25</v>
      </c>
      <c r="K10" s="21">
        <f t="shared" si="1"/>
        <v>38545556</v>
      </c>
      <c r="M10" s="34" t="s">
        <v>59</v>
      </c>
      <c r="N10" s="21">
        <f>AVERAGE(I2:I201)</f>
        <v>1.222389003553783</v>
      </c>
    </row>
    <row r="11" spans="1:17" ht="14.4">
      <c r="A11" s="2" t="s">
        <v>19</v>
      </c>
      <c r="B11" s="2" t="s">
        <v>22</v>
      </c>
      <c r="C11" s="2" t="s">
        <v>9</v>
      </c>
      <c r="D11" s="2">
        <v>1001</v>
      </c>
      <c r="E11" s="2">
        <v>5604.85</v>
      </c>
      <c r="F11" s="2">
        <v>5610453</v>
      </c>
      <c r="G11" s="2">
        <v>894</v>
      </c>
      <c r="H11" s="2"/>
      <c r="I11" s="21">
        <f t="shared" si="0"/>
        <v>1.1196868008948546</v>
      </c>
      <c r="J11" s="32" t="s">
        <v>23</v>
      </c>
      <c r="K11" s="21">
        <f t="shared" si="1"/>
        <v>53716083</v>
      </c>
    </row>
    <row r="12" spans="1:17" ht="14.4">
      <c r="A12" s="2" t="s">
        <v>15</v>
      </c>
      <c r="B12" s="2" t="s">
        <v>23</v>
      </c>
      <c r="C12" s="2" t="s">
        <v>21</v>
      </c>
      <c r="D12" s="2">
        <v>113</v>
      </c>
      <c r="E12" s="2">
        <v>20774.25</v>
      </c>
      <c r="F12" s="2">
        <v>2347490</v>
      </c>
      <c r="G12" s="2">
        <v>95</v>
      </c>
      <c r="H12" s="2"/>
      <c r="I12" s="21">
        <f t="shared" si="0"/>
        <v>1.1894736842105262</v>
      </c>
      <c r="J12" s="32" t="s">
        <v>29</v>
      </c>
      <c r="K12" s="21">
        <f t="shared" si="1"/>
        <v>48388670</v>
      </c>
    </row>
    <row r="13" spans="1:17" ht="14.4">
      <c r="A13" s="2" t="s">
        <v>24</v>
      </c>
      <c r="B13" s="2" t="s">
        <v>14</v>
      </c>
      <c r="C13" s="2" t="s">
        <v>9</v>
      </c>
      <c r="D13" s="2">
        <v>937</v>
      </c>
      <c r="E13" s="2">
        <v>5537.73</v>
      </c>
      <c r="F13" s="2">
        <v>5188848</v>
      </c>
      <c r="G13" s="2">
        <v>782</v>
      </c>
      <c r="H13" s="2"/>
      <c r="I13" s="21">
        <f t="shared" si="0"/>
        <v>1.1982097186700766</v>
      </c>
      <c r="J13" s="32" t="s">
        <v>16</v>
      </c>
      <c r="K13" s="21">
        <f t="shared" si="1"/>
        <v>59263858</v>
      </c>
      <c r="P13" s="6"/>
      <c r="Q13" s="6"/>
    </row>
    <row r="14" spans="1:17" ht="14.4">
      <c r="A14" s="2" t="s">
        <v>13</v>
      </c>
      <c r="B14" s="2" t="s">
        <v>23</v>
      </c>
      <c r="C14" s="2" t="s">
        <v>9</v>
      </c>
      <c r="D14" s="2">
        <v>787</v>
      </c>
      <c r="E14" s="2">
        <v>5073.8900000000003</v>
      </c>
      <c r="F14" s="2">
        <v>3993151</v>
      </c>
      <c r="G14" s="2">
        <v>708</v>
      </c>
      <c r="H14" s="2"/>
      <c r="I14" s="21">
        <f t="shared" si="0"/>
        <v>1.1115819209039548</v>
      </c>
      <c r="P14" s="7"/>
      <c r="Q14" s="5"/>
    </row>
    <row r="15" spans="1:17" ht="14.4">
      <c r="A15" s="2" t="s">
        <v>20</v>
      </c>
      <c r="B15" s="2" t="s">
        <v>25</v>
      </c>
      <c r="C15" s="2" t="s">
        <v>12</v>
      </c>
      <c r="D15" s="2">
        <v>208</v>
      </c>
      <c r="E15" s="2">
        <v>6740.33</v>
      </c>
      <c r="F15" s="2">
        <v>1401988</v>
      </c>
      <c r="G15" s="2">
        <v>185</v>
      </c>
      <c r="H15" s="2"/>
      <c r="I15" s="21">
        <f t="shared" si="0"/>
        <v>1.1243243243243244</v>
      </c>
      <c r="P15" s="7"/>
      <c r="Q15" s="8"/>
    </row>
    <row r="16" spans="1:17" ht="14.4">
      <c r="A16" s="2" t="s">
        <v>13</v>
      </c>
      <c r="B16" s="2" t="s">
        <v>14</v>
      </c>
      <c r="C16" s="2" t="s">
        <v>12</v>
      </c>
      <c r="D16" s="2">
        <v>338</v>
      </c>
      <c r="E16" s="2">
        <v>6890.89</v>
      </c>
      <c r="F16" s="2">
        <v>2329121</v>
      </c>
      <c r="G16" s="2">
        <v>303</v>
      </c>
      <c r="H16" s="2"/>
      <c r="I16" s="21">
        <f t="shared" si="0"/>
        <v>1.1155115511551155</v>
      </c>
      <c r="P16" s="7"/>
    </row>
    <row r="17" spans="1:16" ht="14.4">
      <c r="A17" s="2" t="s">
        <v>26</v>
      </c>
      <c r="B17" s="2" t="s">
        <v>23</v>
      </c>
      <c r="C17" s="2" t="s">
        <v>12</v>
      </c>
      <c r="D17" s="2">
        <v>240</v>
      </c>
      <c r="E17" s="2">
        <v>6427.98</v>
      </c>
      <c r="F17" s="2">
        <v>1542716</v>
      </c>
      <c r="G17" s="2">
        <v>222</v>
      </c>
      <c r="H17" s="2"/>
      <c r="I17" s="21">
        <f t="shared" si="0"/>
        <v>1.0810810810810811</v>
      </c>
      <c r="P17" s="7"/>
    </row>
    <row r="18" spans="1:16" ht="14.4">
      <c r="A18" s="2" t="s">
        <v>24</v>
      </c>
      <c r="B18" s="2" t="s">
        <v>14</v>
      </c>
      <c r="C18" s="2" t="s">
        <v>27</v>
      </c>
      <c r="D18" s="2">
        <v>432</v>
      </c>
      <c r="E18" s="2">
        <v>1182.23</v>
      </c>
      <c r="F18" s="2">
        <v>510722</v>
      </c>
      <c r="G18" s="2">
        <v>337</v>
      </c>
      <c r="H18" s="2"/>
      <c r="I18" s="21">
        <f t="shared" si="0"/>
        <v>1.2818991097922849</v>
      </c>
      <c r="P18" s="7"/>
    </row>
    <row r="19" spans="1:16" ht="14.4">
      <c r="A19" s="2" t="s">
        <v>10</v>
      </c>
      <c r="B19" s="2" t="s">
        <v>16</v>
      </c>
      <c r="C19" s="2" t="s">
        <v>27</v>
      </c>
      <c r="D19" s="2">
        <v>1125</v>
      </c>
      <c r="E19" s="2">
        <v>1158.96</v>
      </c>
      <c r="F19" s="2">
        <v>1303832</v>
      </c>
      <c r="G19" s="2">
        <v>1037</v>
      </c>
      <c r="H19" s="2"/>
      <c r="I19" s="21">
        <f t="shared" si="0"/>
        <v>1.0848601735776278</v>
      </c>
    </row>
    <row r="20" spans="1:16" ht="14.4">
      <c r="A20" s="2" t="s">
        <v>20</v>
      </c>
      <c r="B20" s="2" t="s">
        <v>28</v>
      </c>
      <c r="C20" s="2" t="s">
        <v>9</v>
      </c>
      <c r="D20" s="2">
        <v>1061</v>
      </c>
      <c r="E20" s="2">
        <v>5393.56</v>
      </c>
      <c r="F20" s="2">
        <v>5722566</v>
      </c>
      <c r="G20" s="2">
        <v>805</v>
      </c>
      <c r="H20" s="2"/>
      <c r="I20" s="21">
        <f t="shared" si="0"/>
        <v>1.3180124223602485</v>
      </c>
    </row>
    <row r="21" spans="1:16" ht="15.75" customHeight="1">
      <c r="A21" s="2" t="s">
        <v>7</v>
      </c>
      <c r="B21" s="2" t="s">
        <v>29</v>
      </c>
      <c r="C21" s="2" t="s">
        <v>9</v>
      </c>
      <c r="D21" s="2">
        <v>806</v>
      </c>
      <c r="E21" s="2">
        <v>5447.22</v>
      </c>
      <c r="F21" s="2">
        <v>4390463</v>
      </c>
      <c r="G21" s="2">
        <v>650</v>
      </c>
      <c r="H21" s="2"/>
      <c r="I21" s="21">
        <f t="shared" si="0"/>
        <v>1.24</v>
      </c>
    </row>
    <row r="22" spans="1:16" ht="15.75" customHeight="1">
      <c r="A22" s="2" t="s">
        <v>30</v>
      </c>
      <c r="B22" s="2" t="s">
        <v>16</v>
      </c>
      <c r="C22" s="2" t="s">
        <v>9</v>
      </c>
      <c r="D22" s="2">
        <v>1174</v>
      </c>
      <c r="E22" s="2">
        <v>5288.04</v>
      </c>
      <c r="F22" s="2">
        <v>6208155</v>
      </c>
      <c r="G22" s="2">
        <v>987</v>
      </c>
      <c r="H22" s="2"/>
      <c r="I22" s="21">
        <f t="shared" si="0"/>
        <v>1.1894630192502533</v>
      </c>
    </row>
    <row r="23" spans="1:16" ht="15.75" customHeight="1">
      <c r="A23" s="2" t="s">
        <v>19</v>
      </c>
      <c r="B23" s="2" t="s">
        <v>18</v>
      </c>
      <c r="C23" s="2" t="s">
        <v>12</v>
      </c>
      <c r="D23" s="2">
        <v>430</v>
      </c>
      <c r="E23" s="2">
        <v>6988.35</v>
      </c>
      <c r="F23" s="2">
        <v>3004991</v>
      </c>
      <c r="G23" s="2">
        <v>345</v>
      </c>
      <c r="H23" s="2"/>
      <c r="I23" s="21">
        <f t="shared" si="0"/>
        <v>1.2463768115942029</v>
      </c>
    </row>
    <row r="24" spans="1:16" ht="15.75" customHeight="1">
      <c r="A24" s="2" t="s">
        <v>19</v>
      </c>
      <c r="B24" s="2" t="s">
        <v>11</v>
      </c>
      <c r="C24" s="2" t="s">
        <v>12</v>
      </c>
      <c r="D24" s="2">
        <v>442</v>
      </c>
      <c r="E24" s="2">
        <v>6850.43</v>
      </c>
      <c r="F24" s="2">
        <v>3027892</v>
      </c>
      <c r="G24" s="2">
        <v>405</v>
      </c>
      <c r="H24" s="2"/>
      <c r="I24" s="21">
        <f t="shared" si="0"/>
        <v>1.0913580246913581</v>
      </c>
    </row>
    <row r="25" spans="1:16" ht="15.75" customHeight="1">
      <c r="A25" s="2" t="s">
        <v>19</v>
      </c>
      <c r="B25" s="2" t="s">
        <v>29</v>
      </c>
      <c r="C25" s="2" t="s">
        <v>27</v>
      </c>
      <c r="D25" s="2">
        <v>905</v>
      </c>
      <c r="E25" s="2">
        <v>1315.82</v>
      </c>
      <c r="F25" s="2">
        <v>1190816</v>
      </c>
      <c r="G25" s="2">
        <v>661</v>
      </c>
      <c r="H25" s="2"/>
      <c r="I25" s="21">
        <f t="shared" si="0"/>
        <v>1.3691376701966718</v>
      </c>
    </row>
    <row r="26" spans="1:16" ht="15.75" customHeight="1">
      <c r="A26" s="2" t="s">
        <v>24</v>
      </c>
      <c r="B26" s="2" t="s">
        <v>11</v>
      </c>
      <c r="C26" s="2" t="s">
        <v>21</v>
      </c>
      <c r="D26" s="2">
        <v>228</v>
      </c>
      <c r="E26" s="2">
        <v>21186.31</v>
      </c>
      <c r="F26" s="2">
        <v>4830479</v>
      </c>
      <c r="G26" s="2">
        <v>206</v>
      </c>
      <c r="H26" s="2"/>
      <c r="I26" s="21">
        <f t="shared" si="0"/>
        <v>1.1067961165048543</v>
      </c>
    </row>
    <row r="27" spans="1:16" ht="15.75" customHeight="1">
      <c r="A27" s="2" t="s">
        <v>24</v>
      </c>
      <c r="B27" s="2" t="s">
        <v>28</v>
      </c>
      <c r="C27" s="2" t="s">
        <v>12</v>
      </c>
      <c r="D27" s="2">
        <v>397</v>
      </c>
      <c r="E27" s="2">
        <v>6260.95</v>
      </c>
      <c r="F27" s="2">
        <v>2485595</v>
      </c>
      <c r="G27" s="2">
        <v>328</v>
      </c>
      <c r="H27" s="2"/>
      <c r="I27" s="21">
        <f t="shared" si="0"/>
        <v>1.2103658536585367</v>
      </c>
    </row>
    <row r="28" spans="1:16" ht="15.75" customHeight="1">
      <c r="A28" s="2" t="s">
        <v>24</v>
      </c>
      <c r="B28" s="2" t="s">
        <v>18</v>
      </c>
      <c r="C28" s="2" t="s">
        <v>9</v>
      </c>
      <c r="D28" s="2">
        <v>833</v>
      </c>
      <c r="E28" s="2">
        <v>5390.59</v>
      </c>
      <c r="F28" s="2">
        <v>4490359</v>
      </c>
      <c r="G28" s="2">
        <v>650</v>
      </c>
      <c r="H28" s="2"/>
      <c r="I28" s="21">
        <f t="shared" si="0"/>
        <v>1.2815384615384615</v>
      </c>
    </row>
    <row r="29" spans="1:16" ht="15.75" customHeight="1">
      <c r="A29" s="2" t="s">
        <v>13</v>
      </c>
      <c r="B29" s="2" t="s">
        <v>25</v>
      </c>
      <c r="C29" s="2" t="s">
        <v>27</v>
      </c>
      <c r="D29" s="2">
        <v>512</v>
      </c>
      <c r="E29" s="2">
        <v>1183.3900000000001</v>
      </c>
      <c r="F29" s="2">
        <v>605898</v>
      </c>
      <c r="G29" s="2">
        <v>366</v>
      </c>
      <c r="H29" s="2"/>
      <c r="I29" s="21">
        <f t="shared" si="0"/>
        <v>1.3989071038251366</v>
      </c>
    </row>
    <row r="30" spans="1:16" ht="15.75" customHeight="1">
      <c r="A30" s="2" t="s">
        <v>30</v>
      </c>
      <c r="B30" s="2" t="s">
        <v>8</v>
      </c>
      <c r="C30" s="2" t="s">
        <v>27</v>
      </c>
      <c r="D30" s="2">
        <v>909</v>
      </c>
      <c r="E30" s="2">
        <v>1308.67</v>
      </c>
      <c r="F30" s="2">
        <v>1189583</v>
      </c>
      <c r="G30" s="2">
        <v>669</v>
      </c>
      <c r="H30" s="2"/>
      <c r="I30" s="21">
        <f t="shared" si="0"/>
        <v>1.358744394618834</v>
      </c>
    </row>
    <row r="31" spans="1:16" ht="15.75" customHeight="1">
      <c r="A31" s="2" t="s">
        <v>13</v>
      </c>
      <c r="B31" s="2" t="s">
        <v>31</v>
      </c>
      <c r="C31" s="2" t="s">
        <v>12</v>
      </c>
      <c r="D31" s="2">
        <v>312</v>
      </c>
      <c r="E31" s="2">
        <v>7001.5</v>
      </c>
      <c r="F31" s="2">
        <v>2184467</v>
      </c>
      <c r="G31" s="2">
        <v>294</v>
      </c>
      <c r="H31" s="2"/>
      <c r="I31" s="21">
        <f t="shared" si="0"/>
        <v>1.0612244897959184</v>
      </c>
    </row>
    <row r="32" spans="1:16" ht="15.75" customHeight="1">
      <c r="A32" s="2" t="s">
        <v>17</v>
      </c>
      <c r="B32" s="2" t="s">
        <v>11</v>
      </c>
      <c r="C32" s="2" t="s">
        <v>9</v>
      </c>
      <c r="D32" s="2">
        <v>824</v>
      </c>
      <c r="E32" s="2">
        <v>5586.7</v>
      </c>
      <c r="F32" s="2">
        <v>4603443</v>
      </c>
      <c r="G32" s="2">
        <v>686</v>
      </c>
      <c r="H32" s="2"/>
      <c r="I32" s="21">
        <f t="shared" si="0"/>
        <v>1.2011661807580174</v>
      </c>
    </row>
    <row r="33" spans="1:9" ht="15.75" customHeight="1">
      <c r="A33" s="2" t="s">
        <v>30</v>
      </c>
      <c r="B33" s="2" t="s">
        <v>22</v>
      </c>
      <c r="C33" s="2" t="s">
        <v>27</v>
      </c>
      <c r="D33" s="2">
        <v>646</v>
      </c>
      <c r="E33" s="2">
        <v>1306.58</v>
      </c>
      <c r="F33" s="2">
        <v>844050</v>
      </c>
      <c r="G33" s="2">
        <v>560</v>
      </c>
      <c r="H33" s="2"/>
      <c r="I33" s="21">
        <f t="shared" si="0"/>
        <v>1.1535714285714285</v>
      </c>
    </row>
    <row r="34" spans="1:9" ht="15.75" customHeight="1">
      <c r="A34" s="2" t="s">
        <v>13</v>
      </c>
      <c r="B34" s="2" t="s">
        <v>29</v>
      </c>
      <c r="C34" s="2" t="s">
        <v>9</v>
      </c>
      <c r="D34" s="2">
        <v>893</v>
      </c>
      <c r="E34" s="2">
        <v>5580.56</v>
      </c>
      <c r="F34" s="2">
        <v>4983439</v>
      </c>
      <c r="G34" s="2">
        <v>766</v>
      </c>
      <c r="H34" s="2"/>
      <c r="I34" s="21">
        <f t="shared" si="0"/>
        <v>1.1657963446475197</v>
      </c>
    </row>
    <row r="35" spans="1:9" ht="15.75" customHeight="1">
      <c r="A35" s="2" t="s">
        <v>20</v>
      </c>
      <c r="B35" s="2" t="s">
        <v>25</v>
      </c>
      <c r="C35" s="2" t="s">
        <v>27</v>
      </c>
      <c r="D35" s="2">
        <v>586</v>
      </c>
      <c r="E35" s="2">
        <v>1059.81</v>
      </c>
      <c r="F35" s="2">
        <v>621052</v>
      </c>
      <c r="G35" s="2">
        <v>437</v>
      </c>
      <c r="H35" s="2"/>
      <c r="I35" s="21">
        <f t="shared" si="0"/>
        <v>1.3409610983981692</v>
      </c>
    </row>
    <row r="36" spans="1:9" ht="15.75" customHeight="1">
      <c r="A36" s="2" t="s">
        <v>10</v>
      </c>
      <c r="B36" s="2" t="s">
        <v>8</v>
      </c>
      <c r="C36" s="2" t="s">
        <v>27</v>
      </c>
      <c r="D36" s="2">
        <v>802</v>
      </c>
      <c r="E36" s="2">
        <v>1288.75</v>
      </c>
      <c r="F36" s="2">
        <v>1033578</v>
      </c>
      <c r="G36" s="2">
        <v>631</v>
      </c>
      <c r="H36" s="2"/>
      <c r="I36" s="21">
        <f t="shared" si="0"/>
        <v>1.2709984152139462</v>
      </c>
    </row>
    <row r="37" spans="1:9" ht="15.75" customHeight="1">
      <c r="A37" s="2" t="s">
        <v>7</v>
      </c>
      <c r="B37" s="2" t="s">
        <v>8</v>
      </c>
      <c r="C37" s="2" t="s">
        <v>9</v>
      </c>
      <c r="D37" s="2">
        <v>1150</v>
      </c>
      <c r="E37" s="2">
        <v>5421.1</v>
      </c>
      <c r="F37" s="2">
        <v>6234261</v>
      </c>
      <c r="G37" s="2">
        <v>1074</v>
      </c>
      <c r="H37" s="2"/>
      <c r="I37" s="21">
        <f t="shared" si="0"/>
        <v>1.0707635009310987</v>
      </c>
    </row>
    <row r="38" spans="1:9" ht="15.75" customHeight="1">
      <c r="A38" s="2" t="s">
        <v>20</v>
      </c>
      <c r="B38" s="2" t="s">
        <v>29</v>
      </c>
      <c r="C38" s="2" t="s">
        <v>27</v>
      </c>
      <c r="D38" s="2">
        <v>872</v>
      </c>
      <c r="E38" s="2">
        <v>1220.57</v>
      </c>
      <c r="F38" s="2">
        <v>1064333</v>
      </c>
      <c r="G38" s="2">
        <v>762</v>
      </c>
      <c r="H38" s="2"/>
      <c r="I38" s="21">
        <f t="shared" si="0"/>
        <v>1.1443569553805775</v>
      </c>
    </row>
    <row r="39" spans="1:9" ht="15.75" customHeight="1">
      <c r="A39" s="2" t="s">
        <v>7</v>
      </c>
      <c r="B39" s="2" t="s">
        <v>16</v>
      </c>
      <c r="C39" s="2" t="s">
        <v>27</v>
      </c>
      <c r="D39" s="2">
        <v>745</v>
      </c>
      <c r="E39" s="2">
        <v>1055.6500000000001</v>
      </c>
      <c r="F39" s="2">
        <v>786460</v>
      </c>
      <c r="G39" s="2">
        <v>704</v>
      </c>
      <c r="H39" s="2"/>
      <c r="I39" s="21">
        <f t="shared" si="0"/>
        <v>1.0582386363636365</v>
      </c>
    </row>
    <row r="40" spans="1:9" ht="15.75" customHeight="1">
      <c r="A40" s="2" t="s">
        <v>19</v>
      </c>
      <c r="B40" s="2" t="s">
        <v>16</v>
      </c>
      <c r="C40" s="2" t="s">
        <v>9</v>
      </c>
      <c r="D40" s="2">
        <v>601</v>
      </c>
      <c r="E40" s="2">
        <v>5500.1</v>
      </c>
      <c r="F40" s="2">
        <v>3305558</v>
      </c>
      <c r="G40" s="2">
        <v>449</v>
      </c>
      <c r="H40" s="2"/>
      <c r="I40" s="21">
        <f t="shared" si="0"/>
        <v>1.3385300668151447</v>
      </c>
    </row>
    <row r="41" spans="1:9" ht="15.75" customHeight="1">
      <c r="A41" s="2" t="s">
        <v>24</v>
      </c>
      <c r="B41" s="2" t="s">
        <v>28</v>
      </c>
      <c r="C41" s="2" t="s">
        <v>12</v>
      </c>
      <c r="D41" s="2">
        <v>407</v>
      </c>
      <c r="E41" s="2">
        <v>6745.73</v>
      </c>
      <c r="F41" s="2">
        <v>2745511</v>
      </c>
      <c r="G41" s="2">
        <v>376</v>
      </c>
      <c r="H41" s="2"/>
      <c r="I41" s="21">
        <f t="shared" si="0"/>
        <v>1.0824468085106382</v>
      </c>
    </row>
    <row r="42" spans="1:9" ht="15.75" customHeight="1">
      <c r="A42" s="2" t="s">
        <v>13</v>
      </c>
      <c r="B42" s="2" t="s">
        <v>22</v>
      </c>
      <c r="C42" s="2" t="s">
        <v>27</v>
      </c>
      <c r="D42" s="2">
        <v>1072</v>
      </c>
      <c r="E42" s="2">
        <v>1132</v>
      </c>
      <c r="F42" s="2">
        <v>1213501</v>
      </c>
      <c r="G42" s="2">
        <v>793</v>
      </c>
      <c r="H42" s="2"/>
      <c r="I42" s="21">
        <f t="shared" si="0"/>
        <v>1.3518284993694829</v>
      </c>
    </row>
    <row r="43" spans="1:9" ht="15.75" customHeight="1">
      <c r="A43" s="2" t="s">
        <v>17</v>
      </c>
      <c r="B43" s="2" t="s">
        <v>14</v>
      </c>
      <c r="C43" s="2" t="s">
        <v>27</v>
      </c>
      <c r="D43" s="2">
        <v>653</v>
      </c>
      <c r="E43" s="2">
        <v>1223.23</v>
      </c>
      <c r="F43" s="2">
        <v>798766</v>
      </c>
      <c r="G43" s="2">
        <v>458</v>
      </c>
      <c r="H43" s="2"/>
      <c r="I43" s="21">
        <f t="shared" si="0"/>
        <v>1.4257641921397379</v>
      </c>
    </row>
    <row r="44" spans="1:9" ht="15.75" customHeight="1">
      <c r="A44" s="2" t="s">
        <v>24</v>
      </c>
      <c r="B44" s="2" t="s">
        <v>28</v>
      </c>
      <c r="C44" s="2" t="s">
        <v>9</v>
      </c>
      <c r="D44" s="2">
        <v>937</v>
      </c>
      <c r="E44" s="2">
        <v>4724.1099999999997</v>
      </c>
      <c r="F44" s="2">
        <v>4426490</v>
      </c>
      <c r="G44" s="2">
        <v>888</v>
      </c>
      <c r="H44" s="2"/>
      <c r="I44" s="21">
        <f t="shared" si="0"/>
        <v>1.0551801801801801</v>
      </c>
    </row>
    <row r="45" spans="1:9" ht="15.75" customHeight="1">
      <c r="A45" s="2" t="s">
        <v>19</v>
      </c>
      <c r="B45" s="2" t="s">
        <v>31</v>
      </c>
      <c r="C45" s="2" t="s">
        <v>27</v>
      </c>
      <c r="D45" s="2">
        <v>797</v>
      </c>
      <c r="E45" s="2">
        <v>1119.68</v>
      </c>
      <c r="F45" s="2">
        <v>892387</v>
      </c>
      <c r="G45" s="2">
        <v>622</v>
      </c>
      <c r="H45" s="2"/>
      <c r="I45" s="21">
        <f t="shared" si="0"/>
        <v>1.2813504823151125</v>
      </c>
    </row>
    <row r="46" spans="1:9" ht="15.75" customHeight="1">
      <c r="A46" s="2" t="s">
        <v>19</v>
      </c>
      <c r="B46" s="2" t="s">
        <v>14</v>
      </c>
      <c r="C46" s="2" t="s">
        <v>27</v>
      </c>
      <c r="D46" s="2">
        <v>791</v>
      </c>
      <c r="E46" s="2">
        <v>1242.45</v>
      </c>
      <c r="F46" s="2">
        <v>982777</v>
      </c>
      <c r="G46" s="2">
        <v>666</v>
      </c>
      <c r="H46" s="2"/>
      <c r="I46" s="21">
        <f t="shared" si="0"/>
        <v>1.1876876876876876</v>
      </c>
    </row>
    <row r="47" spans="1:9" ht="15.75" customHeight="1">
      <c r="A47" s="2" t="s">
        <v>10</v>
      </c>
      <c r="B47" s="2" t="s">
        <v>22</v>
      </c>
      <c r="C47" s="2" t="s">
        <v>12</v>
      </c>
      <c r="D47" s="2">
        <v>221</v>
      </c>
      <c r="E47" s="2">
        <v>6982.16</v>
      </c>
      <c r="F47" s="2">
        <v>1543058</v>
      </c>
      <c r="G47" s="2">
        <v>168</v>
      </c>
      <c r="H47" s="2"/>
      <c r="I47" s="21">
        <f t="shared" si="0"/>
        <v>1.3154761904761905</v>
      </c>
    </row>
    <row r="48" spans="1:9" ht="15.75" customHeight="1">
      <c r="A48" s="2" t="s">
        <v>17</v>
      </c>
      <c r="B48" s="2" t="s">
        <v>22</v>
      </c>
      <c r="C48" s="2" t="s">
        <v>9</v>
      </c>
      <c r="D48" s="2">
        <v>1162</v>
      </c>
      <c r="E48" s="2">
        <v>5355.34</v>
      </c>
      <c r="F48" s="2">
        <v>6222903</v>
      </c>
      <c r="G48" s="2">
        <v>1044</v>
      </c>
      <c r="H48" s="2"/>
      <c r="I48" s="21">
        <f t="shared" si="0"/>
        <v>1.1130268199233717</v>
      </c>
    </row>
    <row r="49" spans="1:9" ht="15.75" customHeight="1">
      <c r="A49" s="2" t="s">
        <v>20</v>
      </c>
      <c r="B49" s="2" t="s">
        <v>16</v>
      </c>
      <c r="C49" s="2" t="s">
        <v>12</v>
      </c>
      <c r="D49" s="2">
        <v>346</v>
      </c>
      <c r="E49" s="2">
        <v>6948.15</v>
      </c>
      <c r="F49" s="2">
        <v>2404062</v>
      </c>
      <c r="G49" s="2">
        <v>291</v>
      </c>
      <c r="H49" s="2"/>
      <c r="I49" s="21">
        <f t="shared" si="0"/>
        <v>1.1890034364261168</v>
      </c>
    </row>
    <row r="50" spans="1:9" ht="15.75" customHeight="1">
      <c r="A50" s="2" t="s">
        <v>20</v>
      </c>
      <c r="B50" s="2" t="s">
        <v>31</v>
      </c>
      <c r="C50" s="2" t="s">
        <v>27</v>
      </c>
      <c r="D50" s="2">
        <v>619</v>
      </c>
      <c r="E50" s="2">
        <v>1021.67</v>
      </c>
      <c r="F50" s="2">
        <v>632417</v>
      </c>
      <c r="G50" s="2">
        <v>570</v>
      </c>
      <c r="H50" s="2"/>
      <c r="I50" s="21">
        <f t="shared" si="0"/>
        <v>1.0859649122807018</v>
      </c>
    </row>
    <row r="51" spans="1:9" ht="15.75" customHeight="1">
      <c r="A51" s="2" t="s">
        <v>24</v>
      </c>
      <c r="B51" s="2" t="s">
        <v>18</v>
      </c>
      <c r="C51" s="2" t="s">
        <v>27</v>
      </c>
      <c r="D51" s="2">
        <v>748</v>
      </c>
      <c r="E51" s="2">
        <v>1175.69</v>
      </c>
      <c r="F51" s="2">
        <v>879414</v>
      </c>
      <c r="G51" s="2">
        <v>603</v>
      </c>
      <c r="H51" s="2"/>
      <c r="I51" s="21">
        <f t="shared" si="0"/>
        <v>1.2404643449419568</v>
      </c>
    </row>
    <row r="52" spans="1:9" ht="15.75" customHeight="1">
      <c r="A52" s="2" t="s">
        <v>26</v>
      </c>
      <c r="B52" s="2" t="s">
        <v>28</v>
      </c>
      <c r="C52" s="2" t="s">
        <v>27</v>
      </c>
      <c r="D52" s="2">
        <v>515</v>
      </c>
      <c r="E52" s="2">
        <v>1115.32</v>
      </c>
      <c r="F52" s="2">
        <v>574390</v>
      </c>
      <c r="G52" s="2">
        <v>470</v>
      </c>
      <c r="H52" s="2"/>
      <c r="I52" s="21">
        <f t="shared" si="0"/>
        <v>1.0957446808510638</v>
      </c>
    </row>
    <row r="53" spans="1:9" ht="15.75" customHeight="1">
      <c r="A53" s="2" t="s">
        <v>10</v>
      </c>
      <c r="B53" s="2" t="s">
        <v>32</v>
      </c>
      <c r="C53" s="2" t="s">
        <v>9</v>
      </c>
      <c r="D53" s="2">
        <v>1165</v>
      </c>
      <c r="E53" s="2">
        <v>4997.03</v>
      </c>
      <c r="F53" s="2">
        <v>5821541</v>
      </c>
      <c r="G53" s="2">
        <v>1018</v>
      </c>
      <c r="H53" s="2"/>
      <c r="I53" s="21">
        <f t="shared" si="0"/>
        <v>1.1444007858546168</v>
      </c>
    </row>
    <row r="54" spans="1:9" ht="15.75" customHeight="1">
      <c r="A54" s="2" t="s">
        <v>13</v>
      </c>
      <c r="B54" s="2" t="s">
        <v>14</v>
      </c>
      <c r="C54" s="2" t="s">
        <v>21</v>
      </c>
      <c r="D54" s="2">
        <v>131</v>
      </c>
      <c r="E54" s="2">
        <v>20581.82</v>
      </c>
      <c r="F54" s="2">
        <v>2696219</v>
      </c>
      <c r="G54" s="2">
        <v>100</v>
      </c>
      <c r="H54" s="2"/>
      <c r="I54" s="21">
        <f t="shared" si="0"/>
        <v>1.31</v>
      </c>
    </row>
    <row r="55" spans="1:9" ht="15.75" customHeight="1">
      <c r="A55" s="2" t="s">
        <v>30</v>
      </c>
      <c r="B55" s="2" t="s">
        <v>32</v>
      </c>
      <c r="C55" s="2" t="s">
        <v>21</v>
      </c>
      <c r="D55" s="2">
        <v>116</v>
      </c>
      <c r="E55" s="2">
        <v>22611.68</v>
      </c>
      <c r="F55" s="2">
        <v>2622955</v>
      </c>
      <c r="G55" s="2">
        <v>105</v>
      </c>
      <c r="H55" s="2"/>
      <c r="I55" s="21">
        <f t="shared" si="0"/>
        <v>1.1047619047619048</v>
      </c>
    </row>
    <row r="56" spans="1:9" ht="15.75" customHeight="1">
      <c r="A56" s="2" t="s">
        <v>24</v>
      </c>
      <c r="B56" s="2" t="s">
        <v>29</v>
      </c>
      <c r="C56" s="2" t="s">
        <v>21</v>
      </c>
      <c r="D56" s="2">
        <v>138</v>
      </c>
      <c r="E56" s="2">
        <v>22224.1</v>
      </c>
      <c r="F56" s="2">
        <v>3066925</v>
      </c>
      <c r="G56" s="2">
        <v>124</v>
      </c>
      <c r="H56" s="2"/>
      <c r="I56" s="21">
        <f t="shared" si="0"/>
        <v>1.1129032258064515</v>
      </c>
    </row>
    <row r="57" spans="1:9" ht="15.75" customHeight="1">
      <c r="A57" s="2" t="s">
        <v>24</v>
      </c>
      <c r="B57" s="2" t="s">
        <v>14</v>
      </c>
      <c r="C57" s="2" t="s">
        <v>9</v>
      </c>
      <c r="D57" s="2">
        <v>1105</v>
      </c>
      <c r="E57" s="2">
        <v>5179.22</v>
      </c>
      <c r="F57" s="2">
        <v>5723037</v>
      </c>
      <c r="G57" s="2">
        <v>774</v>
      </c>
      <c r="H57" s="2"/>
      <c r="I57" s="21">
        <f t="shared" si="0"/>
        <v>1.4276485788113695</v>
      </c>
    </row>
    <row r="58" spans="1:9" ht="15.75" customHeight="1">
      <c r="A58" s="2" t="s">
        <v>19</v>
      </c>
      <c r="B58" s="2" t="s">
        <v>8</v>
      </c>
      <c r="C58" s="2" t="s">
        <v>9</v>
      </c>
      <c r="D58" s="2">
        <v>1111</v>
      </c>
      <c r="E58" s="2">
        <v>5188.8100000000004</v>
      </c>
      <c r="F58" s="2">
        <v>5764769</v>
      </c>
      <c r="G58" s="2">
        <v>1023</v>
      </c>
      <c r="H58" s="2"/>
      <c r="I58" s="21">
        <f t="shared" si="0"/>
        <v>1.086021505376344</v>
      </c>
    </row>
    <row r="59" spans="1:9" ht="15.75" customHeight="1">
      <c r="A59" s="2" t="s">
        <v>15</v>
      </c>
      <c r="B59" s="2" t="s">
        <v>32</v>
      </c>
      <c r="C59" s="2" t="s">
        <v>27</v>
      </c>
      <c r="D59" s="2">
        <v>1126</v>
      </c>
      <c r="E59" s="2">
        <v>1187.23</v>
      </c>
      <c r="F59" s="2">
        <v>1336817</v>
      </c>
      <c r="G59" s="2">
        <v>977</v>
      </c>
      <c r="H59" s="2"/>
      <c r="I59" s="21">
        <f t="shared" si="0"/>
        <v>1.1525076765609008</v>
      </c>
    </row>
    <row r="60" spans="1:9" ht="15.75" customHeight="1">
      <c r="A60" s="2" t="s">
        <v>10</v>
      </c>
      <c r="B60" s="2" t="s">
        <v>25</v>
      </c>
      <c r="C60" s="2" t="s">
        <v>21</v>
      </c>
      <c r="D60" s="2">
        <v>162</v>
      </c>
      <c r="E60" s="2">
        <v>21169.79</v>
      </c>
      <c r="F60" s="2">
        <v>3429506</v>
      </c>
      <c r="G60" s="2">
        <v>114</v>
      </c>
      <c r="H60" s="2"/>
      <c r="I60" s="21">
        <f t="shared" si="0"/>
        <v>1.4210526315789473</v>
      </c>
    </row>
    <row r="61" spans="1:9" ht="15.75" customHeight="1">
      <c r="A61" s="2" t="s">
        <v>17</v>
      </c>
      <c r="B61" s="2" t="s">
        <v>29</v>
      </c>
      <c r="C61" s="2" t="s">
        <v>27</v>
      </c>
      <c r="D61" s="2">
        <v>1012</v>
      </c>
      <c r="E61" s="2">
        <v>1259.56</v>
      </c>
      <c r="F61" s="2">
        <v>1274679</v>
      </c>
      <c r="G61" s="2">
        <v>840</v>
      </c>
      <c r="H61" s="2"/>
      <c r="I61" s="21">
        <f t="shared" si="0"/>
        <v>1.2047619047619047</v>
      </c>
    </row>
    <row r="62" spans="1:9" ht="15.75" customHeight="1">
      <c r="A62" s="2" t="s">
        <v>26</v>
      </c>
      <c r="B62" s="2" t="s">
        <v>16</v>
      </c>
      <c r="C62" s="2" t="s">
        <v>27</v>
      </c>
      <c r="D62" s="2">
        <v>1019</v>
      </c>
      <c r="E62" s="2">
        <v>1126.96</v>
      </c>
      <c r="F62" s="2">
        <v>1148376</v>
      </c>
      <c r="G62" s="2">
        <v>726</v>
      </c>
      <c r="H62" s="2"/>
      <c r="I62" s="21">
        <f t="shared" si="0"/>
        <v>1.4035812672176309</v>
      </c>
    </row>
    <row r="63" spans="1:9" ht="15.75" customHeight="1">
      <c r="A63" s="2" t="s">
        <v>19</v>
      </c>
      <c r="B63" s="2" t="s">
        <v>28</v>
      </c>
      <c r="C63" s="2" t="s">
        <v>12</v>
      </c>
      <c r="D63" s="2">
        <v>343</v>
      </c>
      <c r="E63" s="2">
        <v>6764.94</v>
      </c>
      <c r="F63" s="2">
        <v>2320374</v>
      </c>
      <c r="G63" s="2">
        <v>323</v>
      </c>
      <c r="H63" s="2"/>
      <c r="I63" s="21">
        <f t="shared" si="0"/>
        <v>1.0619195046439629</v>
      </c>
    </row>
    <row r="64" spans="1:9" ht="15.75" customHeight="1">
      <c r="A64" s="2" t="s">
        <v>30</v>
      </c>
      <c r="B64" s="2" t="s">
        <v>28</v>
      </c>
      <c r="C64" s="2" t="s">
        <v>9</v>
      </c>
      <c r="D64" s="2">
        <v>719</v>
      </c>
      <c r="E64" s="2">
        <v>5211.1000000000004</v>
      </c>
      <c r="F64" s="2">
        <v>3746781</v>
      </c>
      <c r="G64" s="2">
        <v>517</v>
      </c>
      <c r="H64" s="2"/>
      <c r="I64" s="21">
        <f t="shared" si="0"/>
        <v>1.3907156673114121</v>
      </c>
    </row>
    <row r="65" spans="1:9" ht="15.75" customHeight="1">
      <c r="A65" s="2" t="s">
        <v>26</v>
      </c>
      <c r="B65" s="2" t="s">
        <v>23</v>
      </c>
      <c r="C65" s="2" t="s">
        <v>9</v>
      </c>
      <c r="D65" s="2">
        <v>726</v>
      </c>
      <c r="E65" s="2">
        <v>4966.17</v>
      </c>
      <c r="F65" s="2">
        <v>3605442</v>
      </c>
      <c r="G65" s="2">
        <v>634</v>
      </c>
      <c r="H65" s="2"/>
      <c r="I65" s="21">
        <f t="shared" si="0"/>
        <v>1.1451104100946372</v>
      </c>
    </row>
    <row r="66" spans="1:9" ht="15.75" customHeight="1">
      <c r="A66" s="2" t="s">
        <v>26</v>
      </c>
      <c r="B66" s="2" t="s">
        <v>31</v>
      </c>
      <c r="C66" s="2" t="s">
        <v>21</v>
      </c>
      <c r="D66" s="2">
        <v>221</v>
      </c>
      <c r="E66" s="2">
        <v>21120.04</v>
      </c>
      <c r="F66" s="2">
        <v>4667530</v>
      </c>
      <c r="G66" s="2">
        <v>185</v>
      </c>
      <c r="H66" s="2"/>
      <c r="I66" s="21">
        <f t="shared" si="0"/>
        <v>1.1945945945945946</v>
      </c>
    </row>
    <row r="67" spans="1:9" ht="15.75" customHeight="1">
      <c r="A67" s="2" t="s">
        <v>24</v>
      </c>
      <c r="B67" s="2" t="s">
        <v>14</v>
      </c>
      <c r="C67" s="2" t="s">
        <v>9</v>
      </c>
      <c r="D67" s="2">
        <v>871</v>
      </c>
      <c r="E67" s="2">
        <v>5169.33</v>
      </c>
      <c r="F67" s="2">
        <v>4502490</v>
      </c>
      <c r="G67" s="2">
        <v>722</v>
      </c>
      <c r="H67" s="2"/>
      <c r="I67" s="21">
        <f t="shared" ref="I67:I130" si="2">D67/G67</f>
        <v>1.206371191135734</v>
      </c>
    </row>
    <row r="68" spans="1:9" ht="15.75" customHeight="1">
      <c r="A68" s="2" t="s">
        <v>26</v>
      </c>
      <c r="B68" s="2" t="s">
        <v>22</v>
      </c>
      <c r="C68" s="2" t="s">
        <v>9</v>
      </c>
      <c r="D68" s="2">
        <v>846</v>
      </c>
      <c r="E68" s="2">
        <v>5317.31</v>
      </c>
      <c r="F68" s="2">
        <v>4498447</v>
      </c>
      <c r="G68" s="2">
        <v>625</v>
      </c>
      <c r="H68" s="2"/>
      <c r="I68" s="21">
        <f t="shared" si="2"/>
        <v>1.3535999999999999</v>
      </c>
    </row>
    <row r="69" spans="1:9" ht="15.75" customHeight="1">
      <c r="A69" s="2" t="s">
        <v>17</v>
      </c>
      <c r="B69" s="2" t="s">
        <v>25</v>
      </c>
      <c r="C69" s="2" t="s">
        <v>9</v>
      </c>
      <c r="D69" s="2">
        <v>819</v>
      </c>
      <c r="E69" s="2">
        <v>5181.42</v>
      </c>
      <c r="F69" s="2">
        <v>4243586</v>
      </c>
      <c r="G69" s="2">
        <v>582</v>
      </c>
      <c r="H69" s="2"/>
      <c r="I69" s="21">
        <f t="shared" si="2"/>
        <v>1.4072164948453609</v>
      </c>
    </row>
    <row r="70" spans="1:9" ht="15.75" customHeight="1">
      <c r="A70" s="2" t="s">
        <v>20</v>
      </c>
      <c r="B70" s="2" t="s">
        <v>8</v>
      </c>
      <c r="C70" s="2" t="s">
        <v>9</v>
      </c>
      <c r="D70" s="2">
        <v>803</v>
      </c>
      <c r="E70" s="2">
        <v>5190.1499999999996</v>
      </c>
      <c r="F70" s="2">
        <v>4167690</v>
      </c>
      <c r="G70" s="2">
        <v>655</v>
      </c>
      <c r="H70" s="2"/>
      <c r="I70" s="21">
        <f t="shared" si="2"/>
        <v>1.2259541984732825</v>
      </c>
    </row>
    <row r="71" spans="1:9" ht="15.75" customHeight="1">
      <c r="A71" s="2" t="s">
        <v>26</v>
      </c>
      <c r="B71" s="2" t="s">
        <v>11</v>
      </c>
      <c r="C71" s="2" t="s">
        <v>21</v>
      </c>
      <c r="D71" s="2">
        <v>109</v>
      </c>
      <c r="E71" s="2">
        <v>22377.439999999999</v>
      </c>
      <c r="F71" s="2">
        <v>2439141</v>
      </c>
      <c r="G71" s="2">
        <v>102</v>
      </c>
      <c r="H71" s="2"/>
      <c r="I71" s="21">
        <f t="shared" si="2"/>
        <v>1.0686274509803921</v>
      </c>
    </row>
    <row r="72" spans="1:9" ht="15.75" customHeight="1">
      <c r="A72" s="2" t="s">
        <v>19</v>
      </c>
      <c r="B72" s="2" t="s">
        <v>32</v>
      </c>
      <c r="C72" s="2" t="s">
        <v>27</v>
      </c>
      <c r="D72" s="2">
        <v>622</v>
      </c>
      <c r="E72" s="2">
        <v>1518.7</v>
      </c>
      <c r="F72" s="2">
        <v>944633</v>
      </c>
      <c r="G72" s="2">
        <v>541</v>
      </c>
      <c r="H72" s="2"/>
      <c r="I72" s="21">
        <f t="shared" si="2"/>
        <v>1.1497227356746764</v>
      </c>
    </row>
    <row r="73" spans="1:9" ht="15.75" customHeight="1">
      <c r="A73" s="2" t="s">
        <v>13</v>
      </c>
      <c r="B73" s="2" t="s">
        <v>11</v>
      </c>
      <c r="C73" s="2" t="s">
        <v>21</v>
      </c>
      <c r="D73" s="2">
        <v>227</v>
      </c>
      <c r="E73" s="2">
        <v>21567.33</v>
      </c>
      <c r="F73" s="2">
        <v>4895784</v>
      </c>
      <c r="G73" s="2">
        <v>195</v>
      </c>
      <c r="H73" s="2"/>
      <c r="I73" s="21">
        <f t="shared" si="2"/>
        <v>1.1641025641025642</v>
      </c>
    </row>
    <row r="74" spans="1:9" ht="15.75" customHeight="1">
      <c r="A74" s="2" t="s">
        <v>19</v>
      </c>
      <c r="B74" s="2" t="s">
        <v>14</v>
      </c>
      <c r="C74" s="2" t="s">
        <v>27</v>
      </c>
      <c r="D74" s="2">
        <v>1089</v>
      </c>
      <c r="E74" s="2">
        <v>1096.56</v>
      </c>
      <c r="F74" s="2">
        <v>1194154</v>
      </c>
      <c r="G74" s="2">
        <v>983</v>
      </c>
      <c r="H74" s="2"/>
      <c r="I74" s="21">
        <f t="shared" si="2"/>
        <v>1.1078331637843337</v>
      </c>
    </row>
    <row r="75" spans="1:9" ht="15.75" customHeight="1">
      <c r="A75" s="2" t="s">
        <v>26</v>
      </c>
      <c r="B75" s="2" t="s">
        <v>16</v>
      </c>
      <c r="C75" s="2" t="s">
        <v>12</v>
      </c>
      <c r="D75" s="2">
        <v>264</v>
      </c>
      <c r="E75" s="2">
        <v>6761.28</v>
      </c>
      <c r="F75" s="2">
        <v>1784979</v>
      </c>
      <c r="G75" s="2">
        <v>248</v>
      </c>
      <c r="H75" s="2"/>
      <c r="I75" s="21">
        <f t="shared" si="2"/>
        <v>1.064516129032258</v>
      </c>
    </row>
    <row r="76" spans="1:9" ht="15.75" customHeight="1">
      <c r="A76" s="2" t="s">
        <v>30</v>
      </c>
      <c r="B76" s="2" t="s">
        <v>29</v>
      </c>
      <c r="C76" s="2" t="s">
        <v>27</v>
      </c>
      <c r="D76" s="2">
        <v>684</v>
      </c>
      <c r="E76" s="2">
        <v>1151.3599999999999</v>
      </c>
      <c r="F76" s="2">
        <v>787528</v>
      </c>
      <c r="G76" s="2">
        <v>533</v>
      </c>
      <c r="H76" s="2"/>
      <c r="I76" s="21">
        <f t="shared" si="2"/>
        <v>1.2833020637898687</v>
      </c>
    </row>
    <row r="77" spans="1:9" ht="15.75" customHeight="1">
      <c r="A77" s="2" t="s">
        <v>30</v>
      </c>
      <c r="B77" s="2" t="s">
        <v>23</v>
      </c>
      <c r="C77" s="2" t="s">
        <v>21</v>
      </c>
      <c r="D77" s="2">
        <v>214</v>
      </c>
      <c r="E77" s="2">
        <v>21666.080000000002</v>
      </c>
      <c r="F77" s="2">
        <v>4636541</v>
      </c>
      <c r="G77" s="2">
        <v>164</v>
      </c>
      <c r="H77" s="2"/>
      <c r="I77" s="21">
        <f t="shared" si="2"/>
        <v>1.3048780487804879</v>
      </c>
    </row>
    <row r="78" spans="1:9" ht="15.75" customHeight="1">
      <c r="A78" s="2" t="s">
        <v>19</v>
      </c>
      <c r="B78" s="2" t="s">
        <v>23</v>
      </c>
      <c r="C78" s="2" t="s">
        <v>9</v>
      </c>
      <c r="D78" s="2">
        <v>1092</v>
      </c>
      <c r="E78" s="2">
        <v>5389.73</v>
      </c>
      <c r="F78" s="2">
        <v>5885585</v>
      </c>
      <c r="G78" s="2">
        <v>913</v>
      </c>
      <c r="H78" s="2"/>
      <c r="I78" s="21">
        <f t="shared" si="2"/>
        <v>1.1960569550930997</v>
      </c>
    </row>
    <row r="79" spans="1:9" ht="15.75" customHeight="1">
      <c r="A79" s="2" t="s">
        <v>26</v>
      </c>
      <c r="B79" s="2" t="s">
        <v>25</v>
      </c>
      <c r="C79" s="2" t="s">
        <v>27</v>
      </c>
      <c r="D79" s="2">
        <v>591</v>
      </c>
      <c r="E79" s="2">
        <v>1192.1300000000001</v>
      </c>
      <c r="F79" s="2">
        <v>704547</v>
      </c>
      <c r="G79" s="2">
        <v>498</v>
      </c>
      <c r="H79" s="2"/>
      <c r="I79" s="21">
        <f t="shared" si="2"/>
        <v>1.1867469879518073</v>
      </c>
    </row>
    <row r="80" spans="1:9" ht="15.75" customHeight="1">
      <c r="A80" s="2" t="s">
        <v>10</v>
      </c>
      <c r="B80" s="2" t="s">
        <v>8</v>
      </c>
      <c r="C80" s="2" t="s">
        <v>21</v>
      </c>
      <c r="D80" s="2">
        <v>195</v>
      </c>
      <c r="E80" s="2">
        <v>21937.68</v>
      </c>
      <c r="F80" s="2">
        <v>4277847</v>
      </c>
      <c r="G80" s="2">
        <v>178</v>
      </c>
      <c r="H80" s="2"/>
      <c r="I80" s="21">
        <f t="shared" si="2"/>
        <v>1.095505617977528</v>
      </c>
    </row>
    <row r="81" spans="1:9" ht="15.75" customHeight="1">
      <c r="A81" s="2" t="s">
        <v>20</v>
      </c>
      <c r="B81" s="2" t="s">
        <v>11</v>
      </c>
      <c r="C81" s="2" t="s">
        <v>9</v>
      </c>
      <c r="D81" s="2">
        <v>878</v>
      </c>
      <c r="E81" s="2">
        <v>5259.56</v>
      </c>
      <c r="F81" s="2">
        <v>4617895</v>
      </c>
      <c r="G81" s="2">
        <v>780</v>
      </c>
      <c r="H81" s="2"/>
      <c r="I81" s="21">
        <f t="shared" si="2"/>
        <v>1.1256410256410256</v>
      </c>
    </row>
    <row r="82" spans="1:9" ht="15.75" customHeight="1">
      <c r="A82" s="2" t="s">
        <v>24</v>
      </c>
      <c r="B82" s="2" t="s">
        <v>31</v>
      </c>
      <c r="C82" s="2" t="s">
        <v>9</v>
      </c>
      <c r="D82" s="2">
        <v>661</v>
      </c>
      <c r="E82" s="2">
        <v>4808.68</v>
      </c>
      <c r="F82" s="2">
        <v>3178538</v>
      </c>
      <c r="G82" s="2">
        <v>511</v>
      </c>
      <c r="H82" s="2"/>
      <c r="I82" s="21">
        <f t="shared" si="2"/>
        <v>1.2935420743639923</v>
      </c>
    </row>
    <row r="83" spans="1:9" ht="15.75" customHeight="1">
      <c r="A83" s="2" t="s">
        <v>10</v>
      </c>
      <c r="B83" s="2" t="s">
        <v>31</v>
      </c>
      <c r="C83" s="2" t="s">
        <v>27</v>
      </c>
      <c r="D83" s="2">
        <v>795</v>
      </c>
      <c r="E83" s="2">
        <v>1192.3499999999999</v>
      </c>
      <c r="F83" s="2">
        <v>947916</v>
      </c>
      <c r="G83" s="2">
        <v>747</v>
      </c>
      <c r="H83" s="2"/>
      <c r="I83" s="21">
        <f t="shared" si="2"/>
        <v>1.0642570281124497</v>
      </c>
    </row>
    <row r="84" spans="1:9" ht="15.75" customHeight="1">
      <c r="A84" s="2" t="s">
        <v>10</v>
      </c>
      <c r="B84" s="2" t="s">
        <v>16</v>
      </c>
      <c r="C84" s="2" t="s">
        <v>9</v>
      </c>
      <c r="D84" s="2">
        <v>1054</v>
      </c>
      <c r="E84" s="2">
        <v>5320.71</v>
      </c>
      <c r="F84" s="2">
        <v>5608032</v>
      </c>
      <c r="G84" s="2">
        <v>864</v>
      </c>
      <c r="H84" s="2"/>
      <c r="I84" s="21">
        <f t="shared" si="2"/>
        <v>1.2199074074074074</v>
      </c>
    </row>
    <row r="85" spans="1:9" ht="15.75" customHeight="1">
      <c r="A85" s="2" t="s">
        <v>30</v>
      </c>
      <c r="B85" s="2" t="s">
        <v>18</v>
      </c>
      <c r="C85" s="2" t="s">
        <v>9</v>
      </c>
      <c r="D85" s="2">
        <v>698</v>
      </c>
      <c r="E85" s="2">
        <v>5353.53</v>
      </c>
      <c r="F85" s="2">
        <v>3736762</v>
      </c>
      <c r="G85" s="2">
        <v>593</v>
      </c>
      <c r="H85" s="2"/>
      <c r="I85" s="21">
        <f t="shared" si="2"/>
        <v>1.1770657672849916</v>
      </c>
    </row>
    <row r="86" spans="1:9" ht="15.75" customHeight="1">
      <c r="A86" s="2" t="s">
        <v>19</v>
      </c>
      <c r="B86" s="2" t="s">
        <v>29</v>
      </c>
      <c r="C86" s="2" t="s">
        <v>9</v>
      </c>
      <c r="D86" s="2">
        <v>1083</v>
      </c>
      <c r="E86" s="2">
        <v>5662.73</v>
      </c>
      <c r="F86" s="2">
        <v>6132740</v>
      </c>
      <c r="G86" s="2">
        <v>1020</v>
      </c>
      <c r="H86" s="2"/>
      <c r="I86" s="21">
        <f t="shared" si="2"/>
        <v>1.0617647058823529</v>
      </c>
    </row>
    <row r="87" spans="1:9" ht="15.75" customHeight="1">
      <c r="A87" s="2" t="s">
        <v>24</v>
      </c>
      <c r="B87" s="2" t="s">
        <v>23</v>
      </c>
      <c r="C87" s="2" t="s">
        <v>21</v>
      </c>
      <c r="D87" s="2">
        <v>244</v>
      </c>
      <c r="E87" s="2">
        <v>21823.67</v>
      </c>
      <c r="F87" s="2">
        <v>5324975</v>
      </c>
      <c r="G87" s="2">
        <v>176</v>
      </c>
      <c r="H87" s="2"/>
      <c r="I87" s="21">
        <f t="shared" si="2"/>
        <v>1.3863636363636365</v>
      </c>
    </row>
    <row r="88" spans="1:9" ht="15.75" customHeight="1">
      <c r="A88" s="2" t="s">
        <v>7</v>
      </c>
      <c r="B88" s="2" t="s">
        <v>14</v>
      </c>
      <c r="C88" s="2" t="s">
        <v>21</v>
      </c>
      <c r="D88" s="2">
        <v>236</v>
      </c>
      <c r="E88" s="2">
        <v>21947.29</v>
      </c>
      <c r="F88" s="2">
        <v>5179560</v>
      </c>
      <c r="G88" s="2">
        <v>169</v>
      </c>
      <c r="H88" s="2"/>
      <c r="I88" s="21">
        <f t="shared" si="2"/>
        <v>1.3964497041420119</v>
      </c>
    </row>
    <row r="89" spans="1:9" ht="15.75" customHeight="1">
      <c r="A89" s="2" t="s">
        <v>26</v>
      </c>
      <c r="B89" s="2" t="s">
        <v>22</v>
      </c>
      <c r="C89" s="2" t="s">
        <v>12</v>
      </c>
      <c r="D89" s="2">
        <v>335</v>
      </c>
      <c r="E89" s="2">
        <v>6961.76</v>
      </c>
      <c r="F89" s="2">
        <v>2332190</v>
      </c>
      <c r="G89" s="2">
        <v>265</v>
      </c>
      <c r="H89" s="2"/>
      <c r="I89" s="21">
        <f t="shared" si="2"/>
        <v>1.2641509433962264</v>
      </c>
    </row>
    <row r="90" spans="1:9" ht="15.75" customHeight="1">
      <c r="A90" s="2" t="s">
        <v>20</v>
      </c>
      <c r="B90" s="2" t="s">
        <v>22</v>
      </c>
      <c r="C90" s="2" t="s">
        <v>27</v>
      </c>
      <c r="D90" s="2">
        <v>1056</v>
      </c>
      <c r="E90" s="2">
        <v>1133.58</v>
      </c>
      <c r="F90" s="2">
        <v>1197058</v>
      </c>
      <c r="G90" s="2">
        <v>761</v>
      </c>
      <c r="H90" s="2"/>
      <c r="I90" s="21">
        <f t="shared" si="2"/>
        <v>1.3876478318002627</v>
      </c>
    </row>
    <row r="91" spans="1:9" ht="15.75" customHeight="1">
      <c r="A91" s="2" t="s">
        <v>17</v>
      </c>
      <c r="B91" s="2" t="s">
        <v>11</v>
      </c>
      <c r="C91" s="2" t="s">
        <v>12</v>
      </c>
      <c r="D91" s="2">
        <v>401</v>
      </c>
      <c r="E91" s="2">
        <v>7108.03</v>
      </c>
      <c r="F91" s="2">
        <v>2850321</v>
      </c>
      <c r="G91" s="2">
        <v>371</v>
      </c>
      <c r="H91" s="2"/>
      <c r="I91" s="21">
        <f t="shared" si="2"/>
        <v>1.0808625336927224</v>
      </c>
    </row>
    <row r="92" spans="1:9" ht="15.75" customHeight="1">
      <c r="A92" s="2" t="s">
        <v>7</v>
      </c>
      <c r="B92" s="2" t="s">
        <v>28</v>
      </c>
      <c r="C92" s="2" t="s">
        <v>9</v>
      </c>
      <c r="D92" s="2">
        <v>819</v>
      </c>
      <c r="E92" s="2">
        <v>5618.03</v>
      </c>
      <c r="F92" s="2">
        <v>4601168</v>
      </c>
      <c r="G92" s="2">
        <v>730</v>
      </c>
      <c r="H92" s="2"/>
      <c r="I92" s="21">
        <f t="shared" si="2"/>
        <v>1.1219178082191781</v>
      </c>
    </row>
    <row r="93" spans="1:9" ht="15.75" customHeight="1">
      <c r="A93" s="2" t="s">
        <v>24</v>
      </c>
      <c r="B93" s="2" t="s">
        <v>11</v>
      </c>
      <c r="C93" s="2" t="s">
        <v>9</v>
      </c>
      <c r="D93" s="2">
        <v>986</v>
      </c>
      <c r="E93" s="2">
        <v>5394.33</v>
      </c>
      <c r="F93" s="2">
        <v>5318808</v>
      </c>
      <c r="G93" s="2">
        <v>834</v>
      </c>
      <c r="H93" s="2"/>
      <c r="I93" s="21">
        <f t="shared" si="2"/>
        <v>1.1822541966426858</v>
      </c>
    </row>
    <row r="94" spans="1:9" ht="15.75" customHeight="1">
      <c r="A94" s="2" t="s">
        <v>24</v>
      </c>
      <c r="B94" s="2" t="s">
        <v>16</v>
      </c>
      <c r="C94" s="2" t="s">
        <v>9</v>
      </c>
      <c r="D94" s="2">
        <v>1008</v>
      </c>
      <c r="E94" s="2">
        <v>5231.3599999999997</v>
      </c>
      <c r="F94" s="2">
        <v>5273211</v>
      </c>
      <c r="G94" s="2">
        <v>948</v>
      </c>
      <c r="H94" s="2"/>
      <c r="I94" s="21">
        <f t="shared" si="2"/>
        <v>1.0632911392405062</v>
      </c>
    </row>
    <row r="95" spans="1:9" ht="15.75" customHeight="1">
      <c r="A95" s="2" t="s">
        <v>26</v>
      </c>
      <c r="B95" s="2" t="s">
        <v>22</v>
      </c>
      <c r="C95" s="2" t="s">
        <v>9</v>
      </c>
      <c r="D95" s="2">
        <v>802</v>
      </c>
      <c r="E95" s="2">
        <v>5391.54</v>
      </c>
      <c r="F95" s="2">
        <v>4324011</v>
      </c>
      <c r="G95" s="2">
        <v>745</v>
      </c>
      <c r="H95" s="2"/>
      <c r="I95" s="21">
        <f t="shared" si="2"/>
        <v>1.0765100671140939</v>
      </c>
    </row>
    <row r="96" spans="1:9" ht="15.75" customHeight="1">
      <c r="A96" s="2" t="s">
        <v>19</v>
      </c>
      <c r="B96" s="2" t="s">
        <v>28</v>
      </c>
      <c r="C96" s="2" t="s">
        <v>12</v>
      </c>
      <c r="D96" s="2">
        <v>219</v>
      </c>
      <c r="E96" s="2">
        <v>6489.46</v>
      </c>
      <c r="F96" s="2">
        <v>1421191</v>
      </c>
      <c r="G96" s="2">
        <v>207</v>
      </c>
      <c r="H96" s="2"/>
      <c r="I96" s="21">
        <f t="shared" si="2"/>
        <v>1.0579710144927537</v>
      </c>
    </row>
    <row r="97" spans="1:9" ht="15.75" customHeight="1">
      <c r="A97" s="2" t="s">
        <v>17</v>
      </c>
      <c r="B97" s="2" t="s">
        <v>22</v>
      </c>
      <c r="C97" s="2" t="s">
        <v>12</v>
      </c>
      <c r="D97" s="2">
        <v>343</v>
      </c>
      <c r="E97" s="2">
        <v>6409.87</v>
      </c>
      <c r="F97" s="2">
        <v>2198584</v>
      </c>
      <c r="G97" s="2">
        <v>303</v>
      </c>
      <c r="H97" s="2"/>
      <c r="I97" s="21">
        <f t="shared" si="2"/>
        <v>1.1320132013201321</v>
      </c>
    </row>
    <row r="98" spans="1:9" ht="15.75" customHeight="1">
      <c r="A98" s="2" t="s">
        <v>30</v>
      </c>
      <c r="B98" s="2" t="s">
        <v>14</v>
      </c>
      <c r="C98" s="2" t="s">
        <v>21</v>
      </c>
      <c r="D98" s="2">
        <v>216</v>
      </c>
      <c r="E98" s="2">
        <v>20828.22</v>
      </c>
      <c r="F98" s="2">
        <v>4498896</v>
      </c>
      <c r="G98" s="2">
        <v>176</v>
      </c>
      <c r="H98" s="2"/>
      <c r="I98" s="21">
        <f t="shared" si="2"/>
        <v>1.2272727272727273</v>
      </c>
    </row>
    <row r="99" spans="1:9" ht="15.75" customHeight="1">
      <c r="A99" s="2" t="s">
        <v>30</v>
      </c>
      <c r="B99" s="2" t="s">
        <v>16</v>
      </c>
      <c r="C99" s="2" t="s">
        <v>21</v>
      </c>
      <c r="D99" s="2">
        <v>127</v>
      </c>
      <c r="E99" s="2">
        <v>21020.49</v>
      </c>
      <c r="F99" s="2">
        <v>2669602</v>
      </c>
      <c r="G99" s="2">
        <v>91</v>
      </c>
      <c r="H99" s="2"/>
      <c r="I99" s="21">
        <f t="shared" si="2"/>
        <v>1.3956043956043955</v>
      </c>
    </row>
    <row r="100" spans="1:9" ht="15.75" customHeight="1">
      <c r="A100" s="2" t="s">
        <v>24</v>
      </c>
      <c r="B100" s="2" t="s">
        <v>8</v>
      </c>
      <c r="C100" s="2" t="s">
        <v>27</v>
      </c>
      <c r="D100" s="2">
        <v>901</v>
      </c>
      <c r="E100" s="2">
        <v>1372.77</v>
      </c>
      <c r="F100" s="2">
        <v>1236870</v>
      </c>
      <c r="G100" s="2">
        <v>691</v>
      </c>
      <c r="H100" s="2"/>
      <c r="I100" s="21">
        <f t="shared" si="2"/>
        <v>1.3039073806078147</v>
      </c>
    </row>
    <row r="101" spans="1:9" ht="15.75" customHeight="1">
      <c r="A101" s="2" t="s">
        <v>10</v>
      </c>
      <c r="B101" s="2" t="s">
        <v>22</v>
      </c>
      <c r="C101" s="2" t="s">
        <v>21</v>
      </c>
      <c r="D101" s="2">
        <v>214</v>
      </c>
      <c r="E101" s="2">
        <v>20305.919999999998</v>
      </c>
      <c r="F101" s="2">
        <v>4345467</v>
      </c>
      <c r="G101" s="2">
        <v>188</v>
      </c>
      <c r="H101" s="2"/>
      <c r="I101" s="21">
        <f t="shared" si="2"/>
        <v>1.1382978723404256</v>
      </c>
    </row>
    <row r="102" spans="1:9" ht="15.75" customHeight="1">
      <c r="A102" s="2" t="s">
        <v>24</v>
      </c>
      <c r="B102" s="2" t="s">
        <v>32</v>
      </c>
      <c r="C102" s="2" t="s">
        <v>21</v>
      </c>
      <c r="D102" s="2">
        <v>155</v>
      </c>
      <c r="E102" s="2">
        <v>21613.64</v>
      </c>
      <c r="F102" s="2">
        <v>3350114</v>
      </c>
      <c r="G102" s="2">
        <v>114</v>
      </c>
      <c r="H102" s="2"/>
      <c r="I102" s="21">
        <f t="shared" si="2"/>
        <v>1.3596491228070176</v>
      </c>
    </row>
    <row r="103" spans="1:9" ht="15.75" customHeight="1">
      <c r="A103" s="2" t="s">
        <v>13</v>
      </c>
      <c r="B103" s="2" t="s">
        <v>31</v>
      </c>
      <c r="C103" s="2" t="s">
        <v>21</v>
      </c>
      <c r="D103" s="2">
        <v>164</v>
      </c>
      <c r="E103" s="2">
        <v>22329.73</v>
      </c>
      <c r="F103" s="2">
        <v>3662075</v>
      </c>
      <c r="G103" s="2">
        <v>134</v>
      </c>
      <c r="H103" s="2"/>
      <c r="I103" s="21">
        <f t="shared" si="2"/>
        <v>1.2238805970149254</v>
      </c>
    </row>
    <row r="104" spans="1:9" ht="15.75" customHeight="1">
      <c r="A104" s="2" t="s">
        <v>20</v>
      </c>
      <c r="B104" s="2" t="s">
        <v>29</v>
      </c>
      <c r="C104" s="2" t="s">
        <v>9</v>
      </c>
      <c r="D104" s="2">
        <v>881</v>
      </c>
      <c r="E104" s="2">
        <v>5368.18</v>
      </c>
      <c r="F104" s="2">
        <v>4729370</v>
      </c>
      <c r="G104" s="2">
        <v>802</v>
      </c>
      <c r="H104" s="2"/>
      <c r="I104" s="21">
        <f t="shared" si="2"/>
        <v>1.0985037406483791</v>
      </c>
    </row>
    <row r="105" spans="1:9" ht="15.75" customHeight="1">
      <c r="A105" s="2" t="s">
        <v>20</v>
      </c>
      <c r="B105" s="2" t="s">
        <v>32</v>
      </c>
      <c r="C105" s="2" t="s">
        <v>9</v>
      </c>
      <c r="D105" s="2">
        <v>698</v>
      </c>
      <c r="E105" s="2">
        <v>5282.72</v>
      </c>
      <c r="F105" s="2">
        <v>3687337</v>
      </c>
      <c r="G105" s="2">
        <v>511</v>
      </c>
      <c r="H105" s="2"/>
      <c r="I105" s="21">
        <f t="shared" si="2"/>
        <v>1.3659491193737769</v>
      </c>
    </row>
    <row r="106" spans="1:9" ht="15.75" customHeight="1">
      <c r="A106" s="2" t="s">
        <v>26</v>
      </c>
      <c r="B106" s="2" t="s">
        <v>11</v>
      </c>
      <c r="C106" s="2" t="s">
        <v>21</v>
      </c>
      <c r="D106" s="2">
        <v>194</v>
      </c>
      <c r="E106" s="2">
        <v>21755.63</v>
      </c>
      <c r="F106" s="2">
        <v>4220592</v>
      </c>
      <c r="G106" s="2">
        <v>164</v>
      </c>
      <c r="H106" s="2"/>
      <c r="I106" s="21">
        <f t="shared" si="2"/>
        <v>1.1829268292682926</v>
      </c>
    </row>
    <row r="107" spans="1:9" ht="15.75" customHeight="1">
      <c r="A107" s="2" t="s">
        <v>26</v>
      </c>
      <c r="B107" s="2" t="s">
        <v>18</v>
      </c>
      <c r="C107" s="2" t="s">
        <v>21</v>
      </c>
      <c r="D107" s="2">
        <v>182</v>
      </c>
      <c r="E107" s="2">
        <v>21654.62</v>
      </c>
      <c r="F107" s="2">
        <v>3941141</v>
      </c>
      <c r="G107" s="2">
        <v>138</v>
      </c>
      <c r="H107" s="2"/>
      <c r="I107" s="21">
        <f t="shared" si="2"/>
        <v>1.318840579710145</v>
      </c>
    </row>
    <row r="108" spans="1:9" ht="15.75" customHeight="1">
      <c r="A108" s="2" t="s">
        <v>24</v>
      </c>
      <c r="B108" s="2" t="s">
        <v>31</v>
      </c>
      <c r="C108" s="2" t="s">
        <v>12</v>
      </c>
      <c r="D108" s="2">
        <v>372</v>
      </c>
      <c r="E108" s="2">
        <v>6289.42</v>
      </c>
      <c r="F108" s="2">
        <v>2339665</v>
      </c>
      <c r="G108" s="2">
        <v>322</v>
      </c>
      <c r="H108" s="2"/>
      <c r="I108" s="21">
        <f t="shared" si="2"/>
        <v>1.15527950310559</v>
      </c>
    </row>
    <row r="109" spans="1:9" ht="15.75" customHeight="1">
      <c r="A109" s="2" t="s">
        <v>15</v>
      </c>
      <c r="B109" s="2" t="s">
        <v>16</v>
      </c>
      <c r="C109" s="2" t="s">
        <v>12</v>
      </c>
      <c r="D109" s="2">
        <v>271</v>
      </c>
      <c r="E109" s="2">
        <v>6860.65</v>
      </c>
      <c r="F109" s="2">
        <v>1859235</v>
      </c>
      <c r="G109" s="2">
        <v>191</v>
      </c>
      <c r="H109" s="2"/>
      <c r="I109" s="21">
        <f t="shared" si="2"/>
        <v>1.418848167539267</v>
      </c>
    </row>
    <row r="110" spans="1:9" ht="15.75" customHeight="1">
      <c r="A110" s="2" t="s">
        <v>30</v>
      </c>
      <c r="B110" s="2" t="s">
        <v>32</v>
      </c>
      <c r="C110" s="2" t="s">
        <v>21</v>
      </c>
      <c r="D110" s="2">
        <v>217</v>
      </c>
      <c r="E110" s="2">
        <v>21085.67</v>
      </c>
      <c r="F110" s="2">
        <v>4575590</v>
      </c>
      <c r="G110" s="2">
        <v>196</v>
      </c>
      <c r="H110" s="2"/>
      <c r="I110" s="21">
        <f t="shared" si="2"/>
        <v>1.1071428571428572</v>
      </c>
    </row>
    <row r="111" spans="1:9" ht="15.75" customHeight="1">
      <c r="A111" s="2" t="s">
        <v>26</v>
      </c>
      <c r="B111" s="2" t="s">
        <v>29</v>
      </c>
      <c r="C111" s="2" t="s">
        <v>9</v>
      </c>
      <c r="D111" s="2">
        <v>1000</v>
      </c>
      <c r="E111" s="2">
        <v>5478.57</v>
      </c>
      <c r="F111" s="2">
        <v>5478565</v>
      </c>
      <c r="G111" s="2">
        <v>733</v>
      </c>
      <c r="H111" s="2"/>
      <c r="I111" s="21">
        <f t="shared" si="2"/>
        <v>1.3642564802182811</v>
      </c>
    </row>
    <row r="112" spans="1:9" ht="15.75" customHeight="1">
      <c r="A112" s="2" t="s">
        <v>7</v>
      </c>
      <c r="B112" s="2" t="s">
        <v>18</v>
      </c>
      <c r="C112" s="2" t="s">
        <v>9</v>
      </c>
      <c r="D112" s="2">
        <v>1177</v>
      </c>
      <c r="E112" s="2">
        <v>5340.62</v>
      </c>
      <c r="F112" s="2">
        <v>6285913</v>
      </c>
      <c r="G112" s="2">
        <v>1002</v>
      </c>
      <c r="H112" s="2"/>
      <c r="I112" s="21">
        <f t="shared" si="2"/>
        <v>1.1746506986027945</v>
      </c>
    </row>
    <row r="113" spans="1:9" ht="15.75" customHeight="1">
      <c r="A113" s="2" t="s">
        <v>15</v>
      </c>
      <c r="B113" s="2" t="s">
        <v>29</v>
      </c>
      <c r="C113" s="2" t="s">
        <v>12</v>
      </c>
      <c r="D113" s="2">
        <v>448</v>
      </c>
      <c r="E113" s="2">
        <v>6714.87</v>
      </c>
      <c r="F113" s="2">
        <v>3008263</v>
      </c>
      <c r="G113" s="2">
        <v>371</v>
      </c>
      <c r="H113" s="2"/>
      <c r="I113" s="21">
        <f t="shared" si="2"/>
        <v>1.2075471698113207</v>
      </c>
    </row>
    <row r="114" spans="1:9" ht="15.75" customHeight="1">
      <c r="A114" s="2" t="s">
        <v>13</v>
      </c>
      <c r="B114" s="2" t="s">
        <v>16</v>
      </c>
      <c r="C114" s="2" t="s">
        <v>21</v>
      </c>
      <c r="D114" s="2">
        <v>205</v>
      </c>
      <c r="E114" s="2">
        <v>20137.29</v>
      </c>
      <c r="F114" s="2">
        <v>4128145</v>
      </c>
      <c r="G114" s="2">
        <v>167</v>
      </c>
      <c r="H114" s="2"/>
      <c r="I114" s="21">
        <f t="shared" si="2"/>
        <v>1.2275449101796407</v>
      </c>
    </row>
    <row r="115" spans="1:9" ht="15.75" customHeight="1">
      <c r="A115" s="2" t="s">
        <v>15</v>
      </c>
      <c r="B115" s="2" t="s">
        <v>22</v>
      </c>
      <c r="C115" s="2" t="s">
        <v>9</v>
      </c>
      <c r="D115" s="2">
        <v>1049</v>
      </c>
      <c r="E115" s="2">
        <v>5288.89</v>
      </c>
      <c r="F115" s="2">
        <v>5548046</v>
      </c>
      <c r="G115" s="2">
        <v>820</v>
      </c>
      <c r="H115" s="2"/>
      <c r="I115" s="21">
        <f t="shared" si="2"/>
        <v>1.2792682926829269</v>
      </c>
    </row>
    <row r="116" spans="1:9" ht="15.75" customHeight="1">
      <c r="A116" s="2" t="s">
        <v>10</v>
      </c>
      <c r="B116" s="2" t="s">
        <v>25</v>
      </c>
      <c r="C116" s="2" t="s">
        <v>12</v>
      </c>
      <c r="D116" s="2">
        <v>382</v>
      </c>
      <c r="E116" s="2">
        <v>6170.76</v>
      </c>
      <c r="F116" s="2">
        <v>2357231</v>
      </c>
      <c r="G116" s="2">
        <v>334</v>
      </c>
      <c r="H116" s="2"/>
      <c r="I116" s="21">
        <f t="shared" si="2"/>
        <v>1.1437125748502994</v>
      </c>
    </row>
    <row r="117" spans="1:9" ht="15.75" customHeight="1">
      <c r="A117" s="2" t="s">
        <v>19</v>
      </c>
      <c r="B117" s="2" t="s">
        <v>14</v>
      </c>
      <c r="C117" s="2" t="s">
        <v>27</v>
      </c>
      <c r="D117" s="2">
        <v>1095</v>
      </c>
      <c r="E117" s="2">
        <v>1349.99</v>
      </c>
      <c r="F117" s="2">
        <v>1478238</v>
      </c>
      <c r="G117" s="2">
        <v>879</v>
      </c>
      <c r="H117" s="2"/>
      <c r="I117" s="21">
        <f t="shared" si="2"/>
        <v>1.2457337883959045</v>
      </c>
    </row>
    <row r="118" spans="1:9" ht="15.75" customHeight="1">
      <c r="A118" s="2" t="s">
        <v>10</v>
      </c>
      <c r="B118" s="2" t="s">
        <v>29</v>
      </c>
      <c r="C118" s="2" t="s">
        <v>9</v>
      </c>
      <c r="D118" s="2">
        <v>660</v>
      </c>
      <c r="E118" s="2">
        <v>5193.95</v>
      </c>
      <c r="F118" s="2">
        <v>3428006</v>
      </c>
      <c r="G118" s="2">
        <v>491</v>
      </c>
      <c r="H118" s="2"/>
      <c r="I118" s="21">
        <f t="shared" si="2"/>
        <v>1.3441955193482689</v>
      </c>
    </row>
    <row r="119" spans="1:9" ht="15.75" customHeight="1">
      <c r="A119" s="2" t="s">
        <v>26</v>
      </c>
      <c r="B119" s="2" t="s">
        <v>22</v>
      </c>
      <c r="C119" s="2" t="s">
        <v>9</v>
      </c>
      <c r="D119" s="2">
        <v>832</v>
      </c>
      <c r="E119" s="2">
        <v>5141.43</v>
      </c>
      <c r="F119" s="2">
        <v>4277666</v>
      </c>
      <c r="G119" s="2">
        <v>656</v>
      </c>
      <c r="H119" s="2"/>
      <c r="I119" s="21">
        <f t="shared" si="2"/>
        <v>1.2682926829268293</v>
      </c>
    </row>
    <row r="120" spans="1:9" ht="15.75" customHeight="1">
      <c r="A120" s="2" t="s">
        <v>15</v>
      </c>
      <c r="B120" s="2" t="s">
        <v>31</v>
      </c>
      <c r="C120" s="2" t="s">
        <v>21</v>
      </c>
      <c r="D120" s="2">
        <v>144</v>
      </c>
      <c r="E120" s="2">
        <v>20999.81</v>
      </c>
      <c r="F120" s="2">
        <v>3023973</v>
      </c>
      <c r="G120" s="2">
        <v>118</v>
      </c>
      <c r="H120" s="2"/>
      <c r="I120" s="21">
        <f t="shared" si="2"/>
        <v>1.2203389830508475</v>
      </c>
    </row>
    <row r="121" spans="1:9" ht="15.75" customHeight="1">
      <c r="A121" s="2" t="s">
        <v>17</v>
      </c>
      <c r="B121" s="2" t="s">
        <v>14</v>
      </c>
      <c r="C121" s="2" t="s">
        <v>21</v>
      </c>
      <c r="D121" s="2">
        <v>206</v>
      </c>
      <c r="E121" s="2">
        <v>21281.11</v>
      </c>
      <c r="F121" s="2">
        <v>4383909</v>
      </c>
      <c r="G121" s="2">
        <v>191</v>
      </c>
      <c r="H121" s="2"/>
      <c r="I121" s="21">
        <f t="shared" si="2"/>
        <v>1.0785340314136125</v>
      </c>
    </row>
    <row r="122" spans="1:9" ht="15.75" customHeight="1">
      <c r="A122" s="2" t="s">
        <v>20</v>
      </c>
      <c r="B122" s="2" t="s">
        <v>23</v>
      </c>
      <c r="C122" s="2" t="s">
        <v>27</v>
      </c>
      <c r="D122" s="2">
        <v>656</v>
      </c>
      <c r="E122" s="2">
        <v>1218.1500000000001</v>
      </c>
      <c r="F122" s="2">
        <v>799107</v>
      </c>
      <c r="G122" s="2">
        <v>620</v>
      </c>
      <c r="H122" s="2"/>
      <c r="I122" s="21">
        <f t="shared" si="2"/>
        <v>1.0580645161290323</v>
      </c>
    </row>
    <row r="123" spans="1:9" ht="15.75" customHeight="1">
      <c r="A123" s="2" t="s">
        <v>13</v>
      </c>
      <c r="B123" s="2" t="s">
        <v>22</v>
      </c>
      <c r="C123" s="2" t="s">
        <v>21</v>
      </c>
      <c r="D123" s="2">
        <v>127</v>
      </c>
      <c r="E123" s="2">
        <v>20879.810000000001</v>
      </c>
      <c r="F123" s="2">
        <v>2651736</v>
      </c>
      <c r="G123" s="2">
        <v>100</v>
      </c>
      <c r="H123" s="2"/>
      <c r="I123" s="21">
        <f t="shared" si="2"/>
        <v>1.27</v>
      </c>
    </row>
    <row r="124" spans="1:9" ht="15.75" customHeight="1">
      <c r="A124" s="2" t="s">
        <v>13</v>
      </c>
      <c r="B124" s="2" t="s">
        <v>32</v>
      </c>
      <c r="C124" s="2" t="s">
        <v>9</v>
      </c>
      <c r="D124" s="2">
        <v>1125</v>
      </c>
      <c r="E124" s="2">
        <v>5473.37</v>
      </c>
      <c r="F124" s="2">
        <v>6157541</v>
      </c>
      <c r="G124" s="2">
        <v>998</v>
      </c>
      <c r="H124" s="2"/>
      <c r="I124" s="21">
        <f t="shared" si="2"/>
        <v>1.1272545090180361</v>
      </c>
    </row>
    <row r="125" spans="1:9" ht="15.75" customHeight="1">
      <c r="A125" s="2" t="s">
        <v>15</v>
      </c>
      <c r="B125" s="2" t="s">
        <v>23</v>
      </c>
      <c r="C125" s="2" t="s">
        <v>21</v>
      </c>
      <c r="D125" s="2">
        <v>214</v>
      </c>
      <c r="E125" s="2">
        <v>21876.83</v>
      </c>
      <c r="F125" s="2">
        <v>4681642</v>
      </c>
      <c r="G125" s="2">
        <v>162</v>
      </c>
      <c r="H125" s="2"/>
      <c r="I125" s="21">
        <f t="shared" si="2"/>
        <v>1.3209876543209877</v>
      </c>
    </row>
    <row r="126" spans="1:9" ht="15.75" customHeight="1">
      <c r="A126" s="2" t="s">
        <v>24</v>
      </c>
      <c r="B126" s="2" t="s">
        <v>11</v>
      </c>
      <c r="C126" s="2" t="s">
        <v>9</v>
      </c>
      <c r="D126" s="2">
        <v>627</v>
      </c>
      <c r="E126" s="2">
        <v>5170.6899999999996</v>
      </c>
      <c r="F126" s="2">
        <v>3242020</v>
      </c>
      <c r="G126" s="2">
        <v>457</v>
      </c>
      <c r="H126" s="2"/>
      <c r="I126" s="21">
        <f t="shared" si="2"/>
        <v>1.3719912472647702</v>
      </c>
    </row>
    <row r="127" spans="1:9" ht="15.75" customHeight="1">
      <c r="A127" s="2" t="s">
        <v>20</v>
      </c>
      <c r="B127" s="2" t="s">
        <v>8</v>
      </c>
      <c r="C127" s="2" t="s">
        <v>9</v>
      </c>
      <c r="D127" s="2">
        <v>1179</v>
      </c>
      <c r="E127" s="2">
        <v>5083.6899999999996</v>
      </c>
      <c r="F127" s="2">
        <v>5993671</v>
      </c>
      <c r="G127" s="2">
        <v>929</v>
      </c>
      <c r="H127" s="2"/>
      <c r="I127" s="21">
        <f t="shared" si="2"/>
        <v>1.2691065662002152</v>
      </c>
    </row>
    <row r="128" spans="1:9" ht="15.75" customHeight="1">
      <c r="A128" s="2" t="s">
        <v>24</v>
      </c>
      <c r="B128" s="2" t="s">
        <v>32</v>
      </c>
      <c r="C128" s="2" t="s">
        <v>12</v>
      </c>
      <c r="D128" s="2">
        <v>427</v>
      </c>
      <c r="E128" s="2">
        <v>7412.3</v>
      </c>
      <c r="F128" s="2">
        <v>3165052</v>
      </c>
      <c r="G128" s="2">
        <v>378</v>
      </c>
      <c r="H128" s="2"/>
      <c r="I128" s="21">
        <f t="shared" si="2"/>
        <v>1.1296296296296295</v>
      </c>
    </row>
    <row r="129" spans="1:9" ht="15.75" customHeight="1">
      <c r="A129" s="2" t="s">
        <v>20</v>
      </c>
      <c r="B129" s="2" t="s">
        <v>16</v>
      </c>
      <c r="C129" s="2" t="s">
        <v>12</v>
      </c>
      <c r="D129" s="2">
        <v>241</v>
      </c>
      <c r="E129" s="2">
        <v>7004.36</v>
      </c>
      <c r="F129" s="2">
        <v>1688051</v>
      </c>
      <c r="G129" s="2">
        <v>185</v>
      </c>
      <c r="H129" s="2"/>
      <c r="I129" s="21">
        <f t="shared" si="2"/>
        <v>1.3027027027027027</v>
      </c>
    </row>
    <row r="130" spans="1:9" ht="15.75" customHeight="1">
      <c r="A130" s="2" t="s">
        <v>17</v>
      </c>
      <c r="B130" s="2" t="s">
        <v>8</v>
      </c>
      <c r="C130" s="2" t="s">
        <v>21</v>
      </c>
      <c r="D130" s="2">
        <v>163</v>
      </c>
      <c r="E130" s="2">
        <v>19968.98</v>
      </c>
      <c r="F130" s="2">
        <v>3254943</v>
      </c>
      <c r="G130" s="2">
        <v>154</v>
      </c>
      <c r="H130" s="2"/>
      <c r="I130" s="21">
        <f t="shared" si="2"/>
        <v>1.0584415584415585</v>
      </c>
    </row>
    <row r="131" spans="1:9" ht="15.75" customHeight="1">
      <c r="A131" s="2" t="s">
        <v>26</v>
      </c>
      <c r="B131" s="2" t="s">
        <v>25</v>
      </c>
      <c r="C131" s="2" t="s">
        <v>9</v>
      </c>
      <c r="D131" s="2">
        <v>1036</v>
      </c>
      <c r="E131" s="2">
        <v>5488.26</v>
      </c>
      <c r="F131" s="2">
        <v>5685834</v>
      </c>
      <c r="G131" s="2">
        <v>751</v>
      </c>
      <c r="H131" s="2"/>
      <c r="I131" s="21">
        <f t="shared" ref="I131:I194" si="3">D131/G131</f>
        <v>1.3794940079893476</v>
      </c>
    </row>
    <row r="132" spans="1:9" ht="15.75" customHeight="1">
      <c r="A132" s="2" t="s">
        <v>17</v>
      </c>
      <c r="B132" s="2" t="s">
        <v>22</v>
      </c>
      <c r="C132" s="2" t="s">
        <v>12</v>
      </c>
      <c r="D132" s="2">
        <v>311</v>
      </c>
      <c r="E132" s="2">
        <v>6585.43</v>
      </c>
      <c r="F132" s="2">
        <v>2048068</v>
      </c>
      <c r="G132" s="2">
        <v>239</v>
      </c>
      <c r="H132" s="2"/>
      <c r="I132" s="21">
        <f t="shared" si="3"/>
        <v>1.3012552301255229</v>
      </c>
    </row>
    <row r="133" spans="1:9" ht="15.75" customHeight="1">
      <c r="A133" s="2" t="s">
        <v>13</v>
      </c>
      <c r="B133" s="2" t="s">
        <v>11</v>
      </c>
      <c r="C133" s="2" t="s">
        <v>9</v>
      </c>
      <c r="D133" s="2">
        <v>842</v>
      </c>
      <c r="E133" s="2">
        <v>5217.3100000000004</v>
      </c>
      <c r="F133" s="2">
        <v>4392975</v>
      </c>
      <c r="G133" s="2">
        <v>593</v>
      </c>
      <c r="H133" s="2"/>
      <c r="I133" s="21">
        <f t="shared" si="3"/>
        <v>1.4198988195615514</v>
      </c>
    </row>
    <row r="134" spans="1:9" ht="15.75" customHeight="1">
      <c r="A134" s="2" t="s">
        <v>26</v>
      </c>
      <c r="B134" s="2" t="s">
        <v>8</v>
      </c>
      <c r="C134" s="2" t="s">
        <v>27</v>
      </c>
      <c r="D134" s="2">
        <v>622</v>
      </c>
      <c r="E134" s="2">
        <v>1217.4000000000001</v>
      </c>
      <c r="F134" s="2">
        <v>757221</v>
      </c>
      <c r="G134" s="2">
        <v>578</v>
      </c>
      <c r="H134" s="2"/>
      <c r="I134" s="21">
        <f t="shared" si="3"/>
        <v>1.0761245674740485</v>
      </c>
    </row>
    <row r="135" spans="1:9" ht="15.75" customHeight="1">
      <c r="A135" s="2" t="s">
        <v>17</v>
      </c>
      <c r="B135" s="2" t="s">
        <v>22</v>
      </c>
      <c r="C135" s="2" t="s">
        <v>9</v>
      </c>
      <c r="D135" s="2">
        <v>1103</v>
      </c>
      <c r="E135" s="2">
        <v>5481.57</v>
      </c>
      <c r="F135" s="2">
        <v>6046177</v>
      </c>
      <c r="G135" s="2">
        <v>971</v>
      </c>
      <c r="H135" s="2"/>
      <c r="I135" s="21">
        <f t="shared" si="3"/>
        <v>1.1359423274974254</v>
      </c>
    </row>
    <row r="136" spans="1:9" ht="15.75" customHeight="1">
      <c r="A136" s="2" t="s">
        <v>24</v>
      </c>
      <c r="B136" s="2" t="s">
        <v>32</v>
      </c>
      <c r="C136" s="2" t="s">
        <v>12</v>
      </c>
      <c r="D136" s="2">
        <v>402</v>
      </c>
      <c r="E136" s="2">
        <v>6199.18</v>
      </c>
      <c r="F136" s="2">
        <v>2492070</v>
      </c>
      <c r="G136" s="2">
        <v>358</v>
      </c>
      <c r="H136" s="2"/>
      <c r="I136" s="21">
        <f t="shared" si="3"/>
        <v>1.1229050279329609</v>
      </c>
    </row>
    <row r="137" spans="1:9" ht="15.75" customHeight="1">
      <c r="A137" s="2" t="s">
        <v>17</v>
      </c>
      <c r="B137" s="2" t="s">
        <v>23</v>
      </c>
      <c r="C137" s="2" t="s">
        <v>21</v>
      </c>
      <c r="D137" s="2">
        <v>167</v>
      </c>
      <c r="E137" s="2">
        <v>21934.69</v>
      </c>
      <c r="F137" s="2">
        <v>3663093</v>
      </c>
      <c r="G137" s="2">
        <v>134</v>
      </c>
      <c r="H137" s="2"/>
      <c r="I137" s="21">
        <f t="shared" si="3"/>
        <v>1.2462686567164178</v>
      </c>
    </row>
    <row r="138" spans="1:9" ht="15.75" customHeight="1">
      <c r="A138" s="2" t="s">
        <v>20</v>
      </c>
      <c r="B138" s="2" t="s">
        <v>8</v>
      </c>
      <c r="C138" s="2" t="s">
        <v>9</v>
      </c>
      <c r="D138" s="2">
        <v>739</v>
      </c>
      <c r="E138" s="2">
        <v>5351.94</v>
      </c>
      <c r="F138" s="2">
        <v>3955087</v>
      </c>
      <c r="G138" s="2">
        <v>570</v>
      </c>
      <c r="H138" s="2"/>
      <c r="I138" s="21">
        <f t="shared" si="3"/>
        <v>1.2964912280701755</v>
      </c>
    </row>
    <row r="139" spans="1:9" ht="15.75" customHeight="1">
      <c r="A139" s="2" t="s">
        <v>26</v>
      </c>
      <c r="B139" s="2" t="s">
        <v>29</v>
      </c>
      <c r="C139" s="2" t="s">
        <v>12</v>
      </c>
      <c r="D139" s="2">
        <v>458</v>
      </c>
      <c r="E139" s="2">
        <v>6428.71</v>
      </c>
      <c r="F139" s="2">
        <v>2944347</v>
      </c>
      <c r="G139" s="2">
        <v>326</v>
      </c>
      <c r="H139" s="2"/>
      <c r="I139" s="21">
        <f t="shared" si="3"/>
        <v>1.4049079754601228</v>
      </c>
    </row>
    <row r="140" spans="1:9" ht="15.75" customHeight="1">
      <c r="A140" s="2" t="s">
        <v>15</v>
      </c>
      <c r="B140" s="2" t="s">
        <v>14</v>
      </c>
      <c r="C140" s="2" t="s">
        <v>21</v>
      </c>
      <c r="D140" s="2">
        <v>104</v>
      </c>
      <c r="E140" s="2">
        <v>22305.03</v>
      </c>
      <c r="F140" s="2">
        <v>2319724</v>
      </c>
      <c r="G140" s="2">
        <v>79</v>
      </c>
      <c r="H140" s="2"/>
      <c r="I140" s="21">
        <f t="shared" si="3"/>
        <v>1.3164556962025316</v>
      </c>
    </row>
    <row r="141" spans="1:9" ht="15.75" customHeight="1">
      <c r="A141" s="2" t="s">
        <v>26</v>
      </c>
      <c r="B141" s="2" t="s">
        <v>25</v>
      </c>
      <c r="C141" s="2" t="s">
        <v>9</v>
      </c>
      <c r="D141" s="2">
        <v>1149</v>
      </c>
      <c r="E141" s="2">
        <v>5184.62</v>
      </c>
      <c r="F141" s="2">
        <v>5957130</v>
      </c>
      <c r="G141" s="2">
        <v>922</v>
      </c>
      <c r="H141" s="2"/>
      <c r="I141" s="21">
        <f t="shared" si="3"/>
        <v>1.2462039045553146</v>
      </c>
    </row>
    <row r="142" spans="1:9" ht="15.75" customHeight="1">
      <c r="A142" s="2" t="s">
        <v>20</v>
      </c>
      <c r="B142" s="2" t="s">
        <v>18</v>
      </c>
      <c r="C142" s="2" t="s">
        <v>21</v>
      </c>
      <c r="D142" s="2">
        <v>177</v>
      </c>
      <c r="E142" s="2">
        <v>21093.279999999999</v>
      </c>
      <c r="F142" s="2">
        <v>3733510</v>
      </c>
      <c r="G142" s="2">
        <v>164</v>
      </c>
      <c r="H142" s="2"/>
      <c r="I142" s="21">
        <f t="shared" si="3"/>
        <v>1.0792682926829269</v>
      </c>
    </row>
    <row r="143" spans="1:9" ht="15.75" customHeight="1">
      <c r="A143" s="2" t="s">
        <v>17</v>
      </c>
      <c r="B143" s="2" t="s">
        <v>16</v>
      </c>
      <c r="C143" s="2" t="s">
        <v>27</v>
      </c>
      <c r="D143" s="2">
        <v>748</v>
      </c>
      <c r="E143" s="2">
        <v>1075.82</v>
      </c>
      <c r="F143" s="2">
        <v>804710</v>
      </c>
      <c r="G143" s="2">
        <v>549</v>
      </c>
      <c r="H143" s="2"/>
      <c r="I143" s="21">
        <f t="shared" si="3"/>
        <v>1.3624772313296905</v>
      </c>
    </row>
    <row r="144" spans="1:9" ht="15.75" customHeight="1">
      <c r="A144" s="2" t="s">
        <v>24</v>
      </c>
      <c r="B144" s="2" t="s">
        <v>18</v>
      </c>
      <c r="C144" s="2" t="s">
        <v>21</v>
      </c>
      <c r="D144" s="2">
        <v>159</v>
      </c>
      <c r="E144" s="2">
        <v>21245.22</v>
      </c>
      <c r="F144" s="2">
        <v>3377990</v>
      </c>
      <c r="G144" s="2">
        <v>143</v>
      </c>
      <c r="H144" s="2"/>
      <c r="I144" s="21">
        <f t="shared" si="3"/>
        <v>1.1118881118881119</v>
      </c>
    </row>
    <row r="145" spans="1:9" ht="15.75" customHeight="1">
      <c r="A145" s="2" t="s">
        <v>30</v>
      </c>
      <c r="B145" s="2" t="s">
        <v>8</v>
      </c>
      <c r="C145" s="2" t="s">
        <v>9</v>
      </c>
      <c r="D145" s="2">
        <v>641</v>
      </c>
      <c r="E145" s="2">
        <v>5236.1899999999996</v>
      </c>
      <c r="F145" s="2">
        <v>3356397</v>
      </c>
      <c r="G145" s="2">
        <v>511</v>
      </c>
      <c r="H145" s="2"/>
      <c r="I145" s="21">
        <f t="shared" si="3"/>
        <v>1.25440313111546</v>
      </c>
    </row>
    <row r="146" spans="1:9" ht="15.75" customHeight="1">
      <c r="A146" s="2" t="s">
        <v>13</v>
      </c>
      <c r="B146" s="2" t="s">
        <v>14</v>
      </c>
      <c r="C146" s="2" t="s">
        <v>12</v>
      </c>
      <c r="D146" s="2">
        <v>303</v>
      </c>
      <c r="E146" s="2">
        <v>6497.08</v>
      </c>
      <c r="F146" s="2">
        <v>1968614</v>
      </c>
      <c r="G146" s="2">
        <v>234</v>
      </c>
      <c r="H146" s="2"/>
      <c r="I146" s="21">
        <f t="shared" si="3"/>
        <v>1.2948717948717949</v>
      </c>
    </row>
    <row r="147" spans="1:9" ht="15.75" customHeight="1">
      <c r="A147" s="2" t="s">
        <v>7</v>
      </c>
      <c r="B147" s="2" t="s">
        <v>31</v>
      </c>
      <c r="C147" s="2" t="s">
        <v>9</v>
      </c>
      <c r="D147" s="2">
        <v>744</v>
      </c>
      <c r="E147" s="2">
        <v>4853.93</v>
      </c>
      <c r="F147" s="2">
        <v>3611327</v>
      </c>
      <c r="G147" s="2">
        <v>688</v>
      </c>
      <c r="H147" s="2"/>
      <c r="I147" s="21">
        <f t="shared" si="3"/>
        <v>1.0813953488372092</v>
      </c>
    </row>
    <row r="148" spans="1:9" ht="15.75" customHeight="1">
      <c r="A148" s="2" t="s">
        <v>7</v>
      </c>
      <c r="B148" s="2" t="s">
        <v>32</v>
      </c>
      <c r="C148" s="2" t="s">
        <v>21</v>
      </c>
      <c r="D148" s="2">
        <v>152</v>
      </c>
      <c r="E148" s="2">
        <v>21688.49</v>
      </c>
      <c r="F148" s="2">
        <v>3296651</v>
      </c>
      <c r="G148" s="2">
        <v>110</v>
      </c>
      <c r="H148" s="2"/>
      <c r="I148" s="21">
        <f t="shared" si="3"/>
        <v>1.3818181818181818</v>
      </c>
    </row>
    <row r="149" spans="1:9" ht="15.75" customHeight="1">
      <c r="A149" s="2" t="s">
        <v>17</v>
      </c>
      <c r="B149" s="2" t="s">
        <v>28</v>
      </c>
      <c r="C149" s="2" t="s">
        <v>12</v>
      </c>
      <c r="D149" s="2">
        <v>378</v>
      </c>
      <c r="E149" s="2">
        <v>6931.26</v>
      </c>
      <c r="F149" s="2">
        <v>2620016</v>
      </c>
      <c r="G149" s="2">
        <v>296</v>
      </c>
      <c r="H149" s="2"/>
      <c r="I149" s="21">
        <f t="shared" si="3"/>
        <v>1.277027027027027</v>
      </c>
    </row>
    <row r="150" spans="1:9" ht="15.75" customHeight="1">
      <c r="A150" s="2" t="s">
        <v>19</v>
      </c>
      <c r="B150" s="2" t="s">
        <v>31</v>
      </c>
      <c r="C150" s="2" t="s">
        <v>27</v>
      </c>
      <c r="D150" s="2">
        <v>877</v>
      </c>
      <c r="E150" s="2">
        <v>1218.19</v>
      </c>
      <c r="F150" s="2">
        <v>1068350</v>
      </c>
      <c r="G150" s="2">
        <v>647</v>
      </c>
      <c r="H150" s="2"/>
      <c r="I150" s="21">
        <f t="shared" si="3"/>
        <v>1.3554868624420402</v>
      </c>
    </row>
    <row r="151" spans="1:9" ht="15.75" customHeight="1">
      <c r="A151" s="2" t="s">
        <v>20</v>
      </c>
      <c r="B151" s="2" t="s">
        <v>18</v>
      </c>
      <c r="C151" s="2" t="s">
        <v>12</v>
      </c>
      <c r="D151" s="2">
        <v>488</v>
      </c>
      <c r="E151" s="2">
        <v>6774.47</v>
      </c>
      <c r="F151" s="2">
        <v>3305939</v>
      </c>
      <c r="G151" s="2">
        <v>345</v>
      </c>
      <c r="H151" s="2"/>
      <c r="I151" s="21">
        <f t="shared" si="3"/>
        <v>1.4144927536231884</v>
      </c>
    </row>
    <row r="152" spans="1:9" ht="15.75" customHeight="1">
      <c r="A152" s="2" t="s">
        <v>17</v>
      </c>
      <c r="B152" s="2" t="s">
        <v>32</v>
      </c>
      <c r="C152" s="2" t="s">
        <v>21</v>
      </c>
      <c r="D152" s="2">
        <v>104</v>
      </c>
      <c r="E152" s="2">
        <v>21221.98</v>
      </c>
      <c r="F152" s="2">
        <v>2207086</v>
      </c>
      <c r="G152" s="2">
        <v>94</v>
      </c>
      <c r="H152" s="2"/>
      <c r="I152" s="21">
        <f t="shared" si="3"/>
        <v>1.1063829787234043</v>
      </c>
    </row>
    <row r="153" spans="1:9" ht="15.75" customHeight="1">
      <c r="A153" s="2" t="s">
        <v>19</v>
      </c>
      <c r="B153" s="2" t="s">
        <v>14</v>
      </c>
      <c r="C153" s="2" t="s">
        <v>27</v>
      </c>
      <c r="D153" s="2">
        <v>1095</v>
      </c>
      <c r="E153" s="2">
        <v>1282.9100000000001</v>
      </c>
      <c r="F153" s="2">
        <v>1404791</v>
      </c>
      <c r="G153" s="2">
        <v>904</v>
      </c>
      <c r="H153" s="2"/>
      <c r="I153" s="21">
        <f t="shared" si="3"/>
        <v>1.211283185840708</v>
      </c>
    </row>
    <row r="154" spans="1:9" ht="15.75" customHeight="1">
      <c r="A154" s="2" t="s">
        <v>13</v>
      </c>
      <c r="B154" s="2" t="s">
        <v>18</v>
      </c>
      <c r="C154" s="2" t="s">
        <v>9</v>
      </c>
      <c r="D154" s="2">
        <v>646</v>
      </c>
      <c r="E154" s="2">
        <v>5582.85</v>
      </c>
      <c r="F154" s="2">
        <v>3606521</v>
      </c>
      <c r="G154" s="2">
        <v>454</v>
      </c>
      <c r="H154" s="2"/>
      <c r="I154" s="21">
        <f t="shared" si="3"/>
        <v>1.4229074889867841</v>
      </c>
    </row>
    <row r="155" spans="1:9" ht="15.75" customHeight="1">
      <c r="A155" s="2" t="s">
        <v>10</v>
      </c>
      <c r="B155" s="2" t="s">
        <v>28</v>
      </c>
      <c r="C155" s="2" t="s">
        <v>27</v>
      </c>
      <c r="D155" s="2">
        <v>691</v>
      </c>
      <c r="E155" s="2">
        <v>1152.6400000000001</v>
      </c>
      <c r="F155" s="2">
        <v>796475</v>
      </c>
      <c r="G155" s="2">
        <v>607</v>
      </c>
      <c r="H155" s="2"/>
      <c r="I155" s="21">
        <f t="shared" si="3"/>
        <v>1.1383855024711698</v>
      </c>
    </row>
    <row r="156" spans="1:9" ht="15.75" customHeight="1">
      <c r="A156" s="2" t="s">
        <v>26</v>
      </c>
      <c r="B156" s="2" t="s">
        <v>8</v>
      </c>
      <c r="C156" s="2" t="s">
        <v>12</v>
      </c>
      <c r="D156" s="2">
        <v>453</v>
      </c>
      <c r="E156" s="2">
        <v>6751.18</v>
      </c>
      <c r="F156" s="2">
        <v>3058284</v>
      </c>
      <c r="G156" s="2">
        <v>362</v>
      </c>
      <c r="H156" s="2"/>
      <c r="I156" s="21">
        <f t="shared" si="3"/>
        <v>1.2513812154696133</v>
      </c>
    </row>
    <row r="157" spans="1:9" ht="15.75" customHeight="1">
      <c r="A157" s="2" t="s">
        <v>30</v>
      </c>
      <c r="B157" s="2" t="s">
        <v>29</v>
      </c>
      <c r="C157" s="2" t="s">
        <v>27</v>
      </c>
      <c r="D157" s="2">
        <v>617</v>
      </c>
      <c r="E157" s="2">
        <v>1283.56</v>
      </c>
      <c r="F157" s="2">
        <v>791954</v>
      </c>
      <c r="G157" s="2">
        <v>522</v>
      </c>
      <c r="H157" s="2"/>
      <c r="I157" s="21">
        <f t="shared" si="3"/>
        <v>1.1819923371647509</v>
      </c>
    </row>
    <row r="158" spans="1:9" ht="15.75" customHeight="1">
      <c r="A158" s="2" t="s">
        <v>15</v>
      </c>
      <c r="B158" s="2" t="s">
        <v>25</v>
      </c>
      <c r="C158" s="2" t="s">
        <v>9</v>
      </c>
      <c r="D158" s="2">
        <v>1059</v>
      </c>
      <c r="E158" s="2">
        <v>5540.99</v>
      </c>
      <c r="F158" s="2">
        <v>5867913</v>
      </c>
      <c r="G158" s="2">
        <v>840</v>
      </c>
      <c r="H158" s="2"/>
      <c r="I158" s="21">
        <f t="shared" si="3"/>
        <v>1.2607142857142857</v>
      </c>
    </row>
    <row r="159" spans="1:9" ht="15.75" customHeight="1">
      <c r="A159" s="2" t="s">
        <v>24</v>
      </c>
      <c r="B159" s="2" t="s">
        <v>22</v>
      </c>
      <c r="C159" s="2" t="s">
        <v>12</v>
      </c>
      <c r="D159" s="2">
        <v>228</v>
      </c>
      <c r="E159" s="2">
        <v>6901.73</v>
      </c>
      <c r="F159" s="2">
        <v>1573594</v>
      </c>
      <c r="G159" s="2">
        <v>165</v>
      </c>
      <c r="H159" s="2"/>
      <c r="I159" s="21">
        <f t="shared" si="3"/>
        <v>1.3818181818181818</v>
      </c>
    </row>
    <row r="160" spans="1:9" ht="15.75" customHeight="1">
      <c r="A160" s="2" t="s">
        <v>24</v>
      </c>
      <c r="B160" s="2" t="s">
        <v>22</v>
      </c>
      <c r="C160" s="2" t="s">
        <v>12</v>
      </c>
      <c r="D160" s="2">
        <v>456</v>
      </c>
      <c r="E160" s="2">
        <v>7461.61</v>
      </c>
      <c r="F160" s="2">
        <v>3402493</v>
      </c>
      <c r="G160" s="2">
        <v>364</v>
      </c>
      <c r="H160" s="2"/>
      <c r="I160" s="21">
        <f t="shared" si="3"/>
        <v>1.2527472527472527</v>
      </c>
    </row>
    <row r="161" spans="1:9" ht="15.75" customHeight="1">
      <c r="A161" s="2" t="s">
        <v>24</v>
      </c>
      <c r="B161" s="2" t="s">
        <v>18</v>
      </c>
      <c r="C161" s="2" t="s">
        <v>9</v>
      </c>
      <c r="D161" s="2">
        <v>801</v>
      </c>
      <c r="E161" s="2">
        <v>5404.79</v>
      </c>
      <c r="F161" s="2">
        <v>4329237</v>
      </c>
      <c r="G161" s="2">
        <v>721</v>
      </c>
      <c r="H161" s="2"/>
      <c r="I161" s="21">
        <f t="shared" si="3"/>
        <v>1.1109570041608876</v>
      </c>
    </row>
    <row r="162" spans="1:9" ht="15.75" customHeight="1">
      <c r="A162" s="2" t="s">
        <v>26</v>
      </c>
      <c r="B162" s="2" t="s">
        <v>23</v>
      </c>
      <c r="C162" s="2" t="s">
        <v>9</v>
      </c>
      <c r="D162" s="2">
        <v>1174</v>
      </c>
      <c r="E162" s="2">
        <v>5510.36</v>
      </c>
      <c r="F162" s="2">
        <v>6469159</v>
      </c>
      <c r="G162" s="2">
        <v>1092</v>
      </c>
      <c r="H162" s="2"/>
      <c r="I162" s="21">
        <f t="shared" si="3"/>
        <v>1.075091575091575</v>
      </c>
    </row>
    <row r="163" spans="1:9" ht="15.75" customHeight="1">
      <c r="A163" s="2" t="s">
        <v>7</v>
      </c>
      <c r="B163" s="2" t="s">
        <v>32</v>
      </c>
      <c r="C163" s="2" t="s">
        <v>12</v>
      </c>
      <c r="D163" s="2">
        <v>216</v>
      </c>
      <c r="E163" s="2">
        <v>6625.79</v>
      </c>
      <c r="F163" s="2">
        <v>1431171</v>
      </c>
      <c r="G163" s="2">
        <v>182</v>
      </c>
      <c r="H163" s="2"/>
      <c r="I163" s="21">
        <f t="shared" si="3"/>
        <v>1.1868131868131868</v>
      </c>
    </row>
    <row r="164" spans="1:9" ht="15.75" customHeight="1">
      <c r="A164" s="2" t="s">
        <v>10</v>
      </c>
      <c r="B164" s="2" t="s">
        <v>22</v>
      </c>
      <c r="C164" s="2" t="s">
        <v>27</v>
      </c>
      <c r="D164" s="2">
        <v>424</v>
      </c>
      <c r="E164" s="2">
        <v>930.31</v>
      </c>
      <c r="F164" s="2">
        <v>394452</v>
      </c>
      <c r="G164" s="2">
        <v>393</v>
      </c>
      <c r="H164" s="2"/>
      <c r="I164" s="21">
        <f t="shared" si="3"/>
        <v>1.078880407124682</v>
      </c>
    </row>
    <row r="165" spans="1:9" ht="15.75" customHeight="1">
      <c r="A165" s="2" t="s">
        <v>20</v>
      </c>
      <c r="B165" s="2" t="s">
        <v>29</v>
      </c>
      <c r="C165" s="2" t="s">
        <v>21</v>
      </c>
      <c r="D165" s="2">
        <v>213</v>
      </c>
      <c r="E165" s="2">
        <v>21456.560000000001</v>
      </c>
      <c r="F165" s="2">
        <v>4570248</v>
      </c>
      <c r="G165" s="2">
        <v>184</v>
      </c>
      <c r="H165" s="2"/>
      <c r="I165" s="21">
        <f t="shared" si="3"/>
        <v>1.1576086956521738</v>
      </c>
    </row>
    <row r="166" spans="1:9" ht="15.75" customHeight="1">
      <c r="A166" s="2" t="s">
        <v>7</v>
      </c>
      <c r="B166" s="2" t="s">
        <v>31</v>
      </c>
      <c r="C166" s="2" t="s">
        <v>27</v>
      </c>
      <c r="D166" s="2">
        <v>760</v>
      </c>
      <c r="E166" s="2">
        <v>1173.1099999999999</v>
      </c>
      <c r="F166" s="2">
        <v>891564</v>
      </c>
      <c r="G166" s="2">
        <v>548</v>
      </c>
      <c r="H166" s="2"/>
      <c r="I166" s="21">
        <f t="shared" si="3"/>
        <v>1.3868613138686132</v>
      </c>
    </row>
    <row r="167" spans="1:9" ht="15.75" customHeight="1">
      <c r="A167" s="2" t="s">
        <v>13</v>
      </c>
      <c r="B167" s="2" t="s">
        <v>31</v>
      </c>
      <c r="C167" s="2" t="s">
        <v>12</v>
      </c>
      <c r="D167" s="2">
        <v>456</v>
      </c>
      <c r="E167" s="2">
        <v>6368.04</v>
      </c>
      <c r="F167" s="2">
        <v>2903827</v>
      </c>
      <c r="G167" s="2">
        <v>354</v>
      </c>
      <c r="H167" s="2"/>
      <c r="I167" s="21">
        <f t="shared" si="3"/>
        <v>1.2881355932203389</v>
      </c>
    </row>
    <row r="168" spans="1:9" ht="15.75" customHeight="1">
      <c r="A168" s="2" t="s">
        <v>7</v>
      </c>
      <c r="B168" s="2" t="s">
        <v>28</v>
      </c>
      <c r="C168" s="2" t="s">
        <v>12</v>
      </c>
      <c r="D168" s="2">
        <v>410</v>
      </c>
      <c r="E168" s="2">
        <v>6565.59</v>
      </c>
      <c r="F168" s="2">
        <v>2691893</v>
      </c>
      <c r="G168" s="2">
        <v>351</v>
      </c>
      <c r="H168" s="2"/>
      <c r="I168" s="21">
        <f t="shared" si="3"/>
        <v>1.1680911680911681</v>
      </c>
    </row>
    <row r="169" spans="1:9" ht="15.75" customHeight="1">
      <c r="A169" s="2" t="s">
        <v>13</v>
      </c>
      <c r="B169" s="2" t="s">
        <v>28</v>
      </c>
      <c r="C169" s="2" t="s">
        <v>21</v>
      </c>
      <c r="D169" s="2">
        <v>100</v>
      </c>
      <c r="E169" s="2">
        <v>19800.72</v>
      </c>
      <c r="F169" s="2">
        <v>1980072</v>
      </c>
      <c r="G169" s="2">
        <v>89</v>
      </c>
      <c r="H169" s="2"/>
      <c r="I169" s="21">
        <f t="shared" si="3"/>
        <v>1.1235955056179776</v>
      </c>
    </row>
    <row r="170" spans="1:9" ht="15.75" customHeight="1">
      <c r="A170" s="2" t="s">
        <v>15</v>
      </c>
      <c r="B170" s="2" t="s">
        <v>32</v>
      </c>
      <c r="C170" s="2" t="s">
        <v>21</v>
      </c>
      <c r="D170" s="2">
        <v>212</v>
      </c>
      <c r="E170" s="2">
        <v>22496.87</v>
      </c>
      <c r="F170" s="2">
        <v>4769336</v>
      </c>
      <c r="G170" s="2">
        <v>156</v>
      </c>
      <c r="H170" s="2"/>
      <c r="I170" s="21">
        <f t="shared" si="3"/>
        <v>1.358974358974359</v>
      </c>
    </row>
    <row r="171" spans="1:9" ht="15.75" customHeight="1">
      <c r="A171" s="2" t="s">
        <v>20</v>
      </c>
      <c r="B171" s="2" t="s">
        <v>14</v>
      </c>
      <c r="C171" s="2" t="s">
        <v>9</v>
      </c>
      <c r="D171" s="2">
        <v>654</v>
      </c>
      <c r="E171" s="2">
        <v>4885.32</v>
      </c>
      <c r="F171" s="2">
        <v>3195001</v>
      </c>
      <c r="G171" s="2">
        <v>612</v>
      </c>
      <c r="H171" s="2"/>
      <c r="I171" s="21">
        <f t="shared" si="3"/>
        <v>1.0686274509803921</v>
      </c>
    </row>
    <row r="172" spans="1:9" ht="15.75" customHeight="1">
      <c r="A172" s="2" t="s">
        <v>30</v>
      </c>
      <c r="B172" s="2" t="s">
        <v>23</v>
      </c>
      <c r="C172" s="2" t="s">
        <v>12</v>
      </c>
      <c r="D172" s="2">
        <v>361</v>
      </c>
      <c r="E172" s="2">
        <v>6591.43</v>
      </c>
      <c r="F172" s="2">
        <v>2379507</v>
      </c>
      <c r="G172" s="2">
        <v>266</v>
      </c>
      <c r="H172" s="2"/>
      <c r="I172" s="21">
        <f t="shared" si="3"/>
        <v>1.3571428571428572</v>
      </c>
    </row>
    <row r="173" spans="1:9" ht="15.75" customHeight="1">
      <c r="A173" s="2" t="s">
        <v>15</v>
      </c>
      <c r="B173" s="2" t="s">
        <v>11</v>
      </c>
      <c r="C173" s="2" t="s">
        <v>9</v>
      </c>
      <c r="D173" s="2">
        <v>607</v>
      </c>
      <c r="E173" s="2">
        <v>5286.08</v>
      </c>
      <c r="F173" s="2">
        <v>3208652</v>
      </c>
      <c r="G173" s="2">
        <v>429</v>
      </c>
      <c r="H173" s="2"/>
      <c r="I173" s="21">
        <f t="shared" si="3"/>
        <v>1.4149184149184149</v>
      </c>
    </row>
    <row r="174" spans="1:9" ht="15.75" customHeight="1">
      <c r="A174" s="2" t="s">
        <v>7</v>
      </c>
      <c r="B174" s="2" t="s">
        <v>28</v>
      </c>
      <c r="C174" s="2" t="s">
        <v>27</v>
      </c>
      <c r="D174" s="2">
        <v>842</v>
      </c>
      <c r="E174" s="2">
        <v>1457.14</v>
      </c>
      <c r="F174" s="2">
        <v>1226910</v>
      </c>
      <c r="G174" s="2">
        <v>660</v>
      </c>
      <c r="H174" s="2"/>
      <c r="I174" s="21">
        <f t="shared" si="3"/>
        <v>1.2757575757575759</v>
      </c>
    </row>
    <row r="175" spans="1:9" ht="15.75" customHeight="1">
      <c r="A175" s="2" t="s">
        <v>26</v>
      </c>
      <c r="B175" s="2" t="s">
        <v>28</v>
      </c>
      <c r="C175" s="2" t="s">
        <v>12</v>
      </c>
      <c r="D175" s="2">
        <v>296</v>
      </c>
      <c r="E175" s="2">
        <v>6744.7</v>
      </c>
      <c r="F175" s="2">
        <v>1996432</v>
      </c>
      <c r="G175" s="2">
        <v>248</v>
      </c>
      <c r="H175" s="2"/>
      <c r="I175" s="21">
        <f t="shared" si="3"/>
        <v>1.1935483870967742</v>
      </c>
    </row>
    <row r="176" spans="1:9" ht="15.75" customHeight="1">
      <c r="A176" s="2" t="s">
        <v>13</v>
      </c>
      <c r="B176" s="2" t="s">
        <v>32</v>
      </c>
      <c r="C176" s="2" t="s">
        <v>12</v>
      </c>
      <c r="D176" s="2">
        <v>295</v>
      </c>
      <c r="E176" s="2">
        <v>6703.9</v>
      </c>
      <c r="F176" s="2">
        <v>1977651</v>
      </c>
      <c r="G176" s="2">
        <v>266</v>
      </c>
      <c r="H176" s="2"/>
      <c r="I176" s="21">
        <f t="shared" si="3"/>
        <v>1.1090225563909775</v>
      </c>
    </row>
    <row r="177" spans="1:9" ht="15.75" customHeight="1">
      <c r="A177" s="2" t="s">
        <v>19</v>
      </c>
      <c r="B177" s="2" t="s">
        <v>8</v>
      </c>
      <c r="C177" s="2" t="s">
        <v>9</v>
      </c>
      <c r="D177" s="2">
        <v>781</v>
      </c>
      <c r="E177" s="2">
        <v>5312.31</v>
      </c>
      <c r="F177" s="2">
        <v>4148917</v>
      </c>
      <c r="G177" s="2">
        <v>586</v>
      </c>
      <c r="H177" s="2"/>
      <c r="I177" s="21">
        <f t="shared" si="3"/>
        <v>1.3327645051194539</v>
      </c>
    </row>
    <row r="178" spans="1:9" ht="15.75" customHeight="1">
      <c r="A178" s="2" t="s">
        <v>7</v>
      </c>
      <c r="B178" s="2" t="s">
        <v>32</v>
      </c>
      <c r="C178" s="2" t="s">
        <v>12</v>
      </c>
      <c r="D178" s="2">
        <v>462</v>
      </c>
      <c r="E178" s="2">
        <v>6906.65</v>
      </c>
      <c r="F178" s="2">
        <v>3190873</v>
      </c>
      <c r="G178" s="2">
        <v>337</v>
      </c>
      <c r="H178" s="2"/>
      <c r="I178" s="21">
        <f t="shared" si="3"/>
        <v>1.370919881305638</v>
      </c>
    </row>
    <row r="179" spans="1:9" ht="15.75" customHeight="1">
      <c r="A179" s="2" t="s">
        <v>10</v>
      </c>
      <c r="B179" s="2" t="s">
        <v>8</v>
      </c>
      <c r="C179" s="2" t="s">
        <v>9</v>
      </c>
      <c r="D179" s="2">
        <v>681</v>
      </c>
      <c r="E179" s="2">
        <v>5393.36</v>
      </c>
      <c r="F179" s="2">
        <v>3672876</v>
      </c>
      <c r="G179" s="2">
        <v>628</v>
      </c>
      <c r="H179" s="2"/>
      <c r="I179" s="21">
        <f t="shared" si="3"/>
        <v>1.0843949044585988</v>
      </c>
    </row>
    <row r="180" spans="1:9" ht="15.75" customHeight="1">
      <c r="A180" s="2" t="s">
        <v>26</v>
      </c>
      <c r="B180" s="2" t="s">
        <v>8</v>
      </c>
      <c r="C180" s="2" t="s">
        <v>12</v>
      </c>
      <c r="D180" s="2">
        <v>433</v>
      </c>
      <c r="E180" s="2">
        <v>6562.45</v>
      </c>
      <c r="F180" s="2">
        <v>2841539</v>
      </c>
      <c r="G180" s="2">
        <v>306</v>
      </c>
      <c r="H180" s="2"/>
      <c r="I180" s="21">
        <f t="shared" si="3"/>
        <v>1.4150326797385622</v>
      </c>
    </row>
    <row r="181" spans="1:9" ht="15.75" customHeight="1">
      <c r="A181" s="2" t="s">
        <v>19</v>
      </c>
      <c r="B181" s="2" t="s">
        <v>18</v>
      </c>
      <c r="C181" s="2" t="s">
        <v>9</v>
      </c>
      <c r="D181" s="2">
        <v>855</v>
      </c>
      <c r="E181" s="2">
        <v>5517.71</v>
      </c>
      <c r="F181" s="2">
        <v>4717640</v>
      </c>
      <c r="G181" s="2">
        <v>716</v>
      </c>
      <c r="H181" s="2"/>
      <c r="I181" s="21">
        <f t="shared" si="3"/>
        <v>1.1941340782122905</v>
      </c>
    </row>
    <row r="182" spans="1:9" ht="15.75" customHeight="1">
      <c r="A182" s="2" t="s">
        <v>15</v>
      </c>
      <c r="B182" s="2" t="s">
        <v>18</v>
      </c>
      <c r="C182" s="2" t="s">
        <v>27</v>
      </c>
      <c r="D182" s="2">
        <v>899</v>
      </c>
      <c r="E182" s="2">
        <v>1216.6400000000001</v>
      </c>
      <c r="F182" s="2">
        <v>1093761</v>
      </c>
      <c r="G182" s="2">
        <v>850</v>
      </c>
      <c r="H182" s="2"/>
      <c r="I182" s="21">
        <f t="shared" si="3"/>
        <v>1.0576470588235294</v>
      </c>
    </row>
    <row r="183" spans="1:9" ht="15.75" customHeight="1">
      <c r="A183" s="2" t="s">
        <v>7</v>
      </c>
      <c r="B183" s="2" t="s">
        <v>31</v>
      </c>
      <c r="C183" s="2" t="s">
        <v>21</v>
      </c>
      <c r="D183" s="2">
        <v>214</v>
      </c>
      <c r="E183" s="2">
        <v>20719.22</v>
      </c>
      <c r="F183" s="2">
        <v>4433912</v>
      </c>
      <c r="G183" s="2">
        <v>177</v>
      </c>
      <c r="H183" s="2"/>
      <c r="I183" s="21">
        <f t="shared" si="3"/>
        <v>1.2090395480225988</v>
      </c>
    </row>
    <row r="184" spans="1:9" ht="15.75" customHeight="1">
      <c r="A184" s="2" t="s">
        <v>24</v>
      </c>
      <c r="B184" s="2" t="s">
        <v>14</v>
      </c>
      <c r="C184" s="2" t="s">
        <v>21</v>
      </c>
      <c r="D184" s="2">
        <v>124</v>
      </c>
      <c r="E184" s="2">
        <v>21001.72</v>
      </c>
      <c r="F184" s="2">
        <v>2604213</v>
      </c>
      <c r="G184" s="2">
        <v>112</v>
      </c>
      <c r="H184" s="2"/>
      <c r="I184" s="21">
        <f t="shared" si="3"/>
        <v>1.1071428571428572</v>
      </c>
    </row>
    <row r="185" spans="1:9" ht="15.75" customHeight="1">
      <c r="A185" s="2" t="s">
        <v>19</v>
      </c>
      <c r="B185" s="2" t="s">
        <v>23</v>
      </c>
      <c r="C185" s="2" t="s">
        <v>21</v>
      </c>
      <c r="D185" s="2">
        <v>128</v>
      </c>
      <c r="E185" s="2">
        <v>21165.49</v>
      </c>
      <c r="F185" s="2">
        <v>2709182</v>
      </c>
      <c r="G185" s="2">
        <v>95</v>
      </c>
      <c r="H185" s="2"/>
      <c r="I185" s="21">
        <f t="shared" si="3"/>
        <v>1.3473684210526315</v>
      </c>
    </row>
    <row r="186" spans="1:9" ht="15.75" customHeight="1">
      <c r="A186" s="2" t="s">
        <v>7</v>
      </c>
      <c r="B186" s="2" t="s">
        <v>18</v>
      </c>
      <c r="C186" s="2" t="s">
        <v>12</v>
      </c>
      <c r="D186" s="2">
        <v>345</v>
      </c>
      <c r="E186" s="2">
        <v>7104.02</v>
      </c>
      <c r="F186" s="2">
        <v>2450888</v>
      </c>
      <c r="G186" s="2">
        <v>284</v>
      </c>
      <c r="H186" s="2"/>
      <c r="I186" s="21">
        <f t="shared" si="3"/>
        <v>1.2147887323943662</v>
      </c>
    </row>
    <row r="187" spans="1:9" ht="15.75" customHeight="1">
      <c r="A187" s="2" t="s">
        <v>15</v>
      </c>
      <c r="B187" s="2" t="s">
        <v>31</v>
      </c>
      <c r="C187" s="2" t="s">
        <v>9</v>
      </c>
      <c r="D187" s="2">
        <v>752</v>
      </c>
      <c r="E187" s="2">
        <v>5325.36</v>
      </c>
      <c r="F187" s="2">
        <v>4004670</v>
      </c>
      <c r="G187" s="2">
        <v>619</v>
      </c>
      <c r="H187" s="2"/>
      <c r="I187" s="21">
        <f t="shared" si="3"/>
        <v>1.2148626817447497</v>
      </c>
    </row>
    <row r="188" spans="1:9" ht="15.75" customHeight="1">
      <c r="A188" s="2" t="s">
        <v>7</v>
      </c>
      <c r="B188" s="2" t="s">
        <v>18</v>
      </c>
      <c r="C188" s="2" t="s">
        <v>21</v>
      </c>
      <c r="D188" s="2">
        <v>185</v>
      </c>
      <c r="E188" s="2">
        <v>21704.82</v>
      </c>
      <c r="F188" s="2">
        <v>4015392</v>
      </c>
      <c r="G188" s="2">
        <v>157</v>
      </c>
      <c r="H188" s="2"/>
      <c r="I188" s="21">
        <f t="shared" si="3"/>
        <v>1.1783439490445859</v>
      </c>
    </row>
    <row r="189" spans="1:9" ht="15.75" customHeight="1">
      <c r="A189" s="2" t="s">
        <v>24</v>
      </c>
      <c r="B189" s="2" t="s">
        <v>18</v>
      </c>
      <c r="C189" s="2" t="s">
        <v>12</v>
      </c>
      <c r="D189" s="2">
        <v>372</v>
      </c>
      <c r="E189" s="2">
        <v>6994.81</v>
      </c>
      <c r="F189" s="2">
        <v>2602068</v>
      </c>
      <c r="G189" s="2">
        <v>338</v>
      </c>
      <c r="H189" s="2"/>
      <c r="I189" s="21">
        <f t="shared" si="3"/>
        <v>1.1005917159763314</v>
      </c>
    </row>
    <row r="190" spans="1:9" ht="15.75" customHeight="1">
      <c r="A190" s="2" t="s">
        <v>26</v>
      </c>
      <c r="B190" s="2" t="s">
        <v>16</v>
      </c>
      <c r="C190" s="2" t="s">
        <v>21</v>
      </c>
      <c r="D190" s="2">
        <v>221</v>
      </c>
      <c r="E190" s="2">
        <v>20016.169999999998</v>
      </c>
      <c r="F190" s="2">
        <v>4423574</v>
      </c>
      <c r="G190" s="2">
        <v>207</v>
      </c>
      <c r="H190" s="2"/>
      <c r="I190" s="21">
        <f t="shared" si="3"/>
        <v>1.067632850241546</v>
      </c>
    </row>
    <row r="191" spans="1:9" ht="15.75" customHeight="1">
      <c r="A191" s="2" t="s">
        <v>20</v>
      </c>
      <c r="B191" s="2" t="s">
        <v>28</v>
      </c>
      <c r="C191" s="2" t="s">
        <v>9</v>
      </c>
      <c r="D191" s="2">
        <v>891</v>
      </c>
      <c r="E191" s="2">
        <v>5102.08</v>
      </c>
      <c r="F191" s="2">
        <v>4545956</v>
      </c>
      <c r="G191" s="2">
        <v>795</v>
      </c>
      <c r="H191" s="2"/>
      <c r="I191" s="21">
        <f t="shared" si="3"/>
        <v>1.120754716981132</v>
      </c>
    </row>
    <row r="192" spans="1:9" ht="15.75" customHeight="1">
      <c r="A192" s="2" t="s">
        <v>26</v>
      </c>
      <c r="B192" s="2" t="s">
        <v>29</v>
      </c>
      <c r="C192" s="2" t="s">
        <v>27</v>
      </c>
      <c r="D192" s="2">
        <v>410</v>
      </c>
      <c r="E192" s="2">
        <v>1334.13</v>
      </c>
      <c r="F192" s="2">
        <v>546994</v>
      </c>
      <c r="G192" s="2">
        <v>317</v>
      </c>
      <c r="H192" s="2"/>
      <c r="I192" s="21">
        <f t="shared" si="3"/>
        <v>1.2933753943217665</v>
      </c>
    </row>
    <row r="193" spans="1:9" ht="15.75" customHeight="1">
      <c r="A193" s="2" t="s">
        <v>10</v>
      </c>
      <c r="B193" s="2" t="s">
        <v>22</v>
      </c>
      <c r="C193" s="2" t="s">
        <v>21</v>
      </c>
      <c r="D193" s="2">
        <v>154</v>
      </c>
      <c r="E193" s="2">
        <v>20792.98</v>
      </c>
      <c r="F193" s="2">
        <v>3202119</v>
      </c>
      <c r="G193" s="2">
        <v>133</v>
      </c>
      <c r="H193" s="2"/>
      <c r="I193" s="21">
        <f t="shared" si="3"/>
        <v>1.1578947368421053</v>
      </c>
    </row>
    <row r="194" spans="1:9" ht="15.75" customHeight="1">
      <c r="A194" s="2" t="s">
        <v>17</v>
      </c>
      <c r="B194" s="2" t="s">
        <v>22</v>
      </c>
      <c r="C194" s="2" t="s">
        <v>9</v>
      </c>
      <c r="D194" s="2">
        <v>911</v>
      </c>
      <c r="E194" s="2">
        <v>5421.51</v>
      </c>
      <c r="F194" s="2">
        <v>4938999</v>
      </c>
      <c r="G194" s="2">
        <v>649</v>
      </c>
      <c r="H194" s="2"/>
      <c r="I194" s="21">
        <f t="shared" si="3"/>
        <v>1.4036979969183359</v>
      </c>
    </row>
    <row r="195" spans="1:9" ht="15.75" customHeight="1">
      <c r="A195" s="2" t="s">
        <v>15</v>
      </c>
      <c r="B195" s="2" t="s">
        <v>25</v>
      </c>
      <c r="C195" s="2" t="s">
        <v>21</v>
      </c>
      <c r="D195" s="2">
        <v>172</v>
      </c>
      <c r="E195" s="2">
        <v>20284.66</v>
      </c>
      <c r="F195" s="2">
        <v>3488961</v>
      </c>
      <c r="G195" s="2">
        <v>123</v>
      </c>
      <c r="H195" s="2"/>
      <c r="I195" s="21">
        <f t="shared" ref="I195:I201" si="4">D195/G195</f>
        <v>1.3983739837398375</v>
      </c>
    </row>
    <row r="196" spans="1:9" ht="15.75" customHeight="1">
      <c r="A196" s="2" t="s">
        <v>20</v>
      </c>
      <c r="B196" s="2" t="s">
        <v>31</v>
      </c>
      <c r="C196" s="2" t="s">
        <v>9</v>
      </c>
      <c r="D196" s="2">
        <v>660</v>
      </c>
      <c r="E196" s="2">
        <v>5174.6099999999997</v>
      </c>
      <c r="F196" s="2">
        <v>3415240</v>
      </c>
      <c r="G196" s="2">
        <v>502</v>
      </c>
      <c r="H196" s="2"/>
      <c r="I196" s="21">
        <f t="shared" si="4"/>
        <v>1.3147410358565736</v>
      </c>
    </row>
    <row r="197" spans="1:9" ht="15.75" customHeight="1">
      <c r="A197" s="2" t="s">
        <v>10</v>
      </c>
      <c r="B197" s="2" t="s">
        <v>32</v>
      </c>
      <c r="C197" s="2" t="s">
        <v>9</v>
      </c>
      <c r="D197" s="2">
        <v>707</v>
      </c>
      <c r="E197" s="2">
        <v>5662.49</v>
      </c>
      <c r="F197" s="2">
        <v>4003380</v>
      </c>
      <c r="G197" s="2">
        <v>617</v>
      </c>
      <c r="H197" s="2"/>
      <c r="I197" s="21">
        <f t="shared" si="4"/>
        <v>1.1458670988654782</v>
      </c>
    </row>
    <row r="198" spans="1:9" ht="15.75" customHeight="1">
      <c r="A198" s="2" t="s">
        <v>17</v>
      </c>
      <c r="B198" s="2" t="s">
        <v>32</v>
      </c>
      <c r="C198" s="2" t="s">
        <v>27</v>
      </c>
      <c r="D198" s="2">
        <v>674</v>
      </c>
      <c r="E198" s="2">
        <v>1298.57</v>
      </c>
      <c r="F198" s="2">
        <v>875238</v>
      </c>
      <c r="G198" s="2">
        <v>633</v>
      </c>
      <c r="H198" s="2"/>
      <c r="I198" s="21">
        <f t="shared" si="4"/>
        <v>1.0647709320695102</v>
      </c>
    </row>
    <row r="199" spans="1:9" ht="15.75" customHeight="1">
      <c r="A199" s="2" t="s">
        <v>20</v>
      </c>
      <c r="B199" s="2" t="s">
        <v>23</v>
      </c>
      <c r="C199" s="2" t="s">
        <v>9</v>
      </c>
      <c r="D199" s="2">
        <v>1096</v>
      </c>
      <c r="E199" s="2">
        <v>5181.1099999999997</v>
      </c>
      <c r="F199" s="2">
        <v>5678493</v>
      </c>
      <c r="G199" s="2">
        <v>817</v>
      </c>
      <c r="H199" s="2"/>
      <c r="I199" s="21">
        <f t="shared" si="4"/>
        <v>1.3414932680538556</v>
      </c>
    </row>
    <row r="200" spans="1:9" ht="15.75" customHeight="1">
      <c r="A200" s="2" t="s">
        <v>13</v>
      </c>
      <c r="B200" s="2" t="s">
        <v>28</v>
      </c>
      <c r="C200" s="2" t="s">
        <v>27</v>
      </c>
      <c r="D200" s="2">
        <v>1060</v>
      </c>
      <c r="E200" s="2">
        <v>1280.48</v>
      </c>
      <c r="F200" s="2">
        <v>1357309</v>
      </c>
      <c r="G200" s="2">
        <v>910</v>
      </c>
      <c r="H200" s="2"/>
      <c r="I200" s="21">
        <f t="shared" si="4"/>
        <v>1.1648351648351649</v>
      </c>
    </row>
    <row r="201" spans="1:9" ht="15.75" customHeight="1">
      <c r="A201" s="2" t="s">
        <v>13</v>
      </c>
      <c r="B201" s="2" t="s">
        <v>25</v>
      </c>
      <c r="C201" s="2" t="s">
        <v>21</v>
      </c>
      <c r="D201" s="2">
        <v>188</v>
      </c>
      <c r="E201" s="2">
        <v>22244.2</v>
      </c>
      <c r="F201" s="2">
        <v>4181910</v>
      </c>
      <c r="G201" s="2">
        <v>161</v>
      </c>
      <c r="H201" s="2"/>
      <c r="I201" s="21">
        <f t="shared" si="4"/>
        <v>1.1677018633540373</v>
      </c>
    </row>
    <row r="202" spans="1:9" ht="15.75" customHeight="1"/>
    <row r="203" spans="1:9" ht="15.75" customHeight="1"/>
    <row r="204" spans="1:9" ht="15.75" customHeight="1"/>
    <row r="205" spans="1:9" ht="15.75" customHeight="1"/>
    <row r="206" spans="1:9" ht="15.75" customHeight="1"/>
    <row r="207" spans="1:9" ht="15.75" customHeight="1"/>
    <row r="208" spans="1:9"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spans="9:11" ht="15.75" customHeight="1"/>
    <row r="994" spans="9:11" ht="15.75" customHeight="1"/>
    <row r="995" spans="9:11" ht="15.75" customHeight="1"/>
    <row r="996" spans="9:11" ht="15.75" customHeight="1"/>
    <row r="997" spans="9:11" ht="15.75" customHeight="1">
      <c r="I997" t="e">
        <f>D997/G997</f>
        <v>#DIV/0!</v>
      </c>
      <c r="K997">
        <f>SUMIFS($F:$F, $B:$B,J997 )</f>
        <v>0</v>
      </c>
    </row>
    <row r="998" spans="9:11" ht="15.75" customHeight="1">
      <c r="I998" t="e">
        <f>D998/G998</f>
        <v>#DIV/0!</v>
      </c>
      <c r="K998">
        <f>SUMIFS($F:$F, $B:$B,J998 )</f>
        <v>0</v>
      </c>
    </row>
    <row r="999" spans="9:11" ht="15.75" customHeight="1">
      <c r="I999" t="e">
        <f>D999/G999</f>
        <v>#DIV/0!</v>
      </c>
      <c r="K999">
        <f>SUMIFS($F:$F, $B:$B,J999 )</f>
        <v>0</v>
      </c>
    </row>
    <row r="1000" spans="9:11" ht="15.75" customHeight="1">
      <c r="I1000" t="e">
        <f>D1000/G1000</f>
        <v>#DIV/0!</v>
      </c>
      <c r="K1000">
        <f>SUMIFS($F:$F, $B:$B,J1000 )</f>
        <v>0</v>
      </c>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45DA0-A083-4D6B-B73D-552AC20D9654}">
  <dimension ref="A1:E17"/>
  <sheetViews>
    <sheetView showGridLines="0" workbookViewId="0">
      <selection activeCell="O20" sqref="O20"/>
    </sheetView>
  </sheetViews>
  <sheetFormatPr defaultRowHeight="14.4"/>
  <cols>
    <col min="1" max="1" width="12.5546875" bestFit="1" customWidth="1"/>
    <col min="2" max="2" width="17" bestFit="1" customWidth="1"/>
    <col min="3" max="3" width="10" bestFit="1" customWidth="1"/>
    <col min="4" max="4" width="12.21875" bestFit="1" customWidth="1"/>
    <col min="5" max="5" width="10" bestFit="1" customWidth="1"/>
    <col min="6" max="6" width="7" bestFit="1" customWidth="1"/>
    <col min="7" max="7" width="10.77734375" bestFit="1" customWidth="1"/>
  </cols>
  <sheetData>
    <row r="1" spans="1:5" ht="33.6">
      <c r="C1" s="51" t="s">
        <v>42</v>
      </c>
    </row>
    <row r="3" spans="1:5">
      <c r="A3" s="3" t="s">
        <v>33</v>
      </c>
      <c r="B3" t="s">
        <v>35</v>
      </c>
    </row>
    <row r="4" spans="1:5">
      <c r="A4" s="4" t="s">
        <v>31</v>
      </c>
      <c r="B4">
        <v>41857858</v>
      </c>
    </row>
    <row r="5" spans="1:5">
      <c r="A5" s="4" t="s">
        <v>32</v>
      </c>
      <c r="B5">
        <v>55905036</v>
      </c>
      <c r="E5" s="4"/>
    </row>
    <row r="6" spans="1:5">
      <c r="A6" s="4" t="s">
        <v>28</v>
      </c>
      <c r="B6">
        <v>45259129</v>
      </c>
      <c r="E6" s="4"/>
    </row>
    <row r="7" spans="1:5">
      <c r="A7" s="4" t="s">
        <v>8</v>
      </c>
      <c r="B7">
        <v>63959180</v>
      </c>
      <c r="E7" s="4"/>
    </row>
    <row r="8" spans="1:5">
      <c r="A8" s="4" t="s">
        <v>18</v>
      </c>
      <c r="B8">
        <v>57749181</v>
      </c>
      <c r="E8" s="4"/>
    </row>
    <row r="9" spans="1:5">
      <c r="A9" s="4" t="s">
        <v>22</v>
      </c>
      <c r="B9">
        <v>68413072</v>
      </c>
      <c r="E9" s="4"/>
    </row>
    <row r="10" spans="1:5">
      <c r="A10" s="4" t="s">
        <v>11</v>
      </c>
      <c r="B10">
        <v>49702035</v>
      </c>
      <c r="E10" s="4"/>
    </row>
    <row r="11" spans="1:5">
      <c r="A11" s="4" t="s">
        <v>14</v>
      </c>
      <c r="B11">
        <v>53305738</v>
      </c>
      <c r="E11" s="4"/>
    </row>
    <row r="12" spans="1:5">
      <c r="A12" s="4" t="s">
        <v>25</v>
      </c>
      <c r="B12">
        <v>38545556</v>
      </c>
      <c r="E12" s="4"/>
    </row>
    <row r="13" spans="1:5">
      <c r="A13" s="4" t="s">
        <v>23</v>
      </c>
      <c r="B13">
        <v>53716083</v>
      </c>
      <c r="E13" s="4"/>
    </row>
    <row r="14" spans="1:5">
      <c r="A14" s="4" t="s">
        <v>29</v>
      </c>
      <c r="B14">
        <v>48388670</v>
      </c>
      <c r="E14" s="4"/>
    </row>
    <row r="15" spans="1:5">
      <c r="A15" s="4" t="s">
        <v>16</v>
      </c>
      <c r="B15">
        <v>59263858</v>
      </c>
      <c r="E15" s="4"/>
    </row>
    <row r="16" spans="1:5">
      <c r="A16" s="4" t="s">
        <v>36</v>
      </c>
      <c r="E16" s="4"/>
    </row>
    <row r="17" spans="1:5">
      <c r="A17" s="4" t="s">
        <v>34</v>
      </c>
      <c r="B17">
        <v>636065396</v>
      </c>
      <c r="E17" s="4"/>
    </row>
  </sheetData>
  <conditionalFormatting sqref="N6">
    <cfRule type="colorScale" priority="5">
      <colorScale>
        <cfvo type="min"/>
        <cfvo type="percentile" val="50"/>
        <cfvo type="max"/>
        <color rgb="FFF8696B"/>
        <color rgb="FFFCFCFF"/>
        <color rgb="FF63BE7B"/>
      </colorScale>
    </cfRule>
  </conditionalFormatting>
  <conditionalFormatting pivot="1" sqref="B4:B15">
    <cfRule type="colorScale" priority="4">
      <colorScale>
        <cfvo type="min"/>
        <cfvo type="percentile" val="50"/>
        <cfvo type="max"/>
        <color rgb="FFF8696B"/>
        <color rgb="FFFCFCFF"/>
        <color rgb="FF63BE7B"/>
      </colorScale>
    </cfRule>
  </conditionalFormatting>
  <conditionalFormatting pivot="1" sqref="B4:B15">
    <cfRule type="colorScale" priority="3">
      <colorScale>
        <cfvo type="min"/>
        <cfvo type="max"/>
        <color rgb="FFFF0000"/>
        <color rgb="FF00B050"/>
      </colorScale>
    </cfRule>
  </conditionalFormatting>
  <conditionalFormatting sqref="F25">
    <cfRule type="colorScale" priority="2">
      <colorScale>
        <cfvo type="min"/>
        <cfvo type="max"/>
        <color rgb="FFFF0000"/>
        <color rgb="FF92D050"/>
      </colorScale>
    </cfRule>
  </conditionalFormatting>
  <conditionalFormatting pivot="1" sqref="B4:B15">
    <cfRule type="colorScale" priority="1">
      <colorScale>
        <cfvo type="min"/>
        <cfvo type="max"/>
        <color rgb="FFFF0000"/>
        <color rgb="FF92D050"/>
      </colorScale>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6E069-1654-4E20-8067-FEA23F0CA389}">
  <dimension ref="A1:D15"/>
  <sheetViews>
    <sheetView showGridLines="0" workbookViewId="0">
      <selection activeCell="T11" sqref="T10:T11"/>
    </sheetView>
  </sheetViews>
  <sheetFormatPr defaultRowHeight="14.4"/>
  <cols>
    <col min="1" max="1" width="12.5546875" bestFit="1" customWidth="1"/>
    <col min="2" max="2" width="17" bestFit="1" customWidth="1"/>
    <col min="3" max="13" width="9" bestFit="1" customWidth="1"/>
    <col min="14" max="14" width="7" bestFit="1" customWidth="1"/>
    <col min="15" max="15" width="10.77734375" bestFit="1" customWidth="1"/>
  </cols>
  <sheetData>
    <row r="1" spans="1:4" ht="33.6">
      <c r="D1" s="51" t="s">
        <v>115</v>
      </c>
    </row>
    <row r="3" spans="1:4">
      <c r="A3" s="3" t="s">
        <v>33</v>
      </c>
      <c r="B3" t="s">
        <v>35</v>
      </c>
    </row>
    <row r="4" spans="1:4">
      <c r="A4" s="4" t="s">
        <v>13</v>
      </c>
      <c r="B4">
        <v>64216614</v>
      </c>
    </row>
    <row r="5" spans="1:4">
      <c r="A5" s="4" t="s">
        <v>10</v>
      </c>
      <c r="B5">
        <v>53445301</v>
      </c>
    </row>
    <row r="6" spans="1:4">
      <c r="A6" s="4" t="s">
        <v>19</v>
      </c>
      <c r="B6">
        <v>60439137</v>
      </c>
    </row>
    <row r="7" spans="1:4">
      <c r="A7" s="4" t="s">
        <v>15</v>
      </c>
      <c r="B7">
        <v>50562236</v>
      </c>
    </row>
    <row r="8" spans="1:4">
      <c r="A8" s="4" t="s">
        <v>7</v>
      </c>
      <c r="B8">
        <v>59442104</v>
      </c>
    </row>
    <row r="9" spans="1:4">
      <c r="A9" s="4" t="s">
        <v>30</v>
      </c>
      <c r="B9">
        <v>42044301</v>
      </c>
    </row>
    <row r="10" spans="1:4">
      <c r="A10" s="4" t="s">
        <v>17</v>
      </c>
      <c r="B10">
        <v>58616648</v>
      </c>
    </row>
    <row r="11" spans="1:4">
      <c r="A11" s="4" t="s">
        <v>20</v>
      </c>
      <c r="B11">
        <v>75418020</v>
      </c>
    </row>
    <row r="12" spans="1:4">
      <c r="A12" s="4" t="s">
        <v>26</v>
      </c>
      <c r="B12">
        <v>80220247</v>
      </c>
    </row>
    <row r="13" spans="1:4">
      <c r="A13" s="4" t="s">
        <v>24</v>
      </c>
      <c r="B13">
        <v>91660788</v>
      </c>
    </row>
    <row r="14" spans="1:4">
      <c r="A14" s="4" t="s">
        <v>36</v>
      </c>
    </row>
    <row r="15" spans="1:4">
      <c r="A15" s="4" t="s">
        <v>34</v>
      </c>
      <c r="B15">
        <v>636065396</v>
      </c>
    </row>
  </sheetData>
  <conditionalFormatting pivot="1" sqref="B4:B13">
    <cfRule type="colorScale" priority="1">
      <colorScale>
        <cfvo type="min"/>
        <cfvo type="max"/>
        <color rgb="FFFF0000"/>
        <color rgb="FF92D050"/>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1C9A-CCA2-4700-80CD-A6916D32B381}">
  <dimension ref="A1:C10"/>
  <sheetViews>
    <sheetView showGridLines="0" workbookViewId="0">
      <selection activeCell="M6" sqref="M6"/>
    </sheetView>
  </sheetViews>
  <sheetFormatPr defaultRowHeight="14.4"/>
  <cols>
    <col min="1" max="1" width="12.5546875" bestFit="1" customWidth="1"/>
    <col min="2" max="2" width="17" bestFit="1" customWidth="1"/>
    <col min="3" max="13" width="9" bestFit="1" customWidth="1"/>
    <col min="14" max="14" width="7" bestFit="1" customWidth="1"/>
    <col min="15" max="15" width="10.77734375" bestFit="1" customWidth="1"/>
  </cols>
  <sheetData>
    <row r="1" spans="1:3" ht="36.6">
      <c r="C1" s="52" t="s">
        <v>116</v>
      </c>
    </row>
    <row r="3" spans="1:3">
      <c r="A3" s="3" t="s">
        <v>33</v>
      </c>
      <c r="B3" t="s">
        <v>35</v>
      </c>
    </row>
    <row r="4" spans="1:3">
      <c r="A4" s="4" t="s">
        <v>27</v>
      </c>
      <c r="B4">
        <v>40183628</v>
      </c>
    </row>
    <row r="5" spans="1:3">
      <c r="A5" s="4" t="s">
        <v>21</v>
      </c>
      <c r="B5">
        <v>167071699</v>
      </c>
    </row>
    <row r="6" spans="1:3">
      <c r="A6" s="4" t="s">
        <v>9</v>
      </c>
      <c r="B6">
        <v>318075916</v>
      </c>
    </row>
    <row r="7" spans="1:3">
      <c r="A7" s="4" t="s">
        <v>12</v>
      </c>
      <c r="B7">
        <v>110734153</v>
      </c>
    </row>
    <row r="8" spans="1:3">
      <c r="A8" s="4" t="s">
        <v>36</v>
      </c>
    </row>
    <row r="9" spans="1:3">
      <c r="A9" s="4" t="s">
        <v>34</v>
      </c>
      <c r="B9">
        <v>636065396</v>
      </c>
    </row>
    <row r="10" spans="1:3">
      <c r="B10">
        <v>636065396</v>
      </c>
    </row>
  </sheetData>
  <conditionalFormatting pivot="1" sqref="B4:B7">
    <cfRule type="colorScale" priority="1">
      <colorScale>
        <cfvo type="min"/>
        <cfvo type="max"/>
        <color rgb="FFFF0000"/>
        <color rgb="FF92D050"/>
      </colorScale>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10F9D-4369-4BF5-85C0-66CF6C52171D}">
  <dimension ref="B1:R30"/>
  <sheetViews>
    <sheetView showGridLines="0" tabSelected="1" zoomScale="70" zoomScaleNormal="70" workbookViewId="0">
      <selection activeCell="W26" sqref="W26"/>
    </sheetView>
  </sheetViews>
  <sheetFormatPr defaultRowHeight="14.4"/>
  <cols>
    <col min="2" max="2" width="25.6640625" customWidth="1"/>
    <col min="3" max="3" width="15.77734375" customWidth="1"/>
    <col min="4" max="4" width="13.88671875" customWidth="1"/>
    <col min="5" max="5" width="17" customWidth="1"/>
    <col min="8" max="8" width="25" customWidth="1"/>
    <col min="9" max="9" width="18.5546875" customWidth="1"/>
    <col min="17" max="18" width="18.77734375" customWidth="1"/>
  </cols>
  <sheetData>
    <row r="1" spans="2:18" ht="46.2">
      <c r="B1" s="11" t="s">
        <v>117</v>
      </c>
    </row>
    <row r="4" spans="2:18">
      <c r="B4" s="5"/>
    </row>
    <row r="8" spans="2:18" ht="23.4">
      <c r="B8" s="12" t="s">
        <v>48</v>
      </c>
      <c r="I8" s="12" t="s">
        <v>50</v>
      </c>
      <c r="Q8" s="12" t="s">
        <v>49</v>
      </c>
    </row>
    <row r="12" spans="2:18">
      <c r="Q12" s="6"/>
      <c r="R12" s="6"/>
    </row>
    <row r="13" spans="2:18">
      <c r="Q13" s="7"/>
      <c r="R13" s="8"/>
    </row>
    <row r="14" spans="2:18">
      <c r="Q14" s="7"/>
      <c r="R14" s="8"/>
    </row>
    <row r="15" spans="2:18">
      <c r="Q15" s="7"/>
    </row>
    <row r="16" spans="2:18" ht="23.4">
      <c r="B16" s="12"/>
      <c r="C16" s="12"/>
      <c r="D16" s="12"/>
      <c r="E16" s="12"/>
    </row>
    <row r="23" spans="2:9" ht="33.6">
      <c r="B23" s="47" t="s">
        <v>52</v>
      </c>
      <c r="C23" s="21"/>
      <c r="D23" s="21"/>
      <c r="E23" s="21"/>
      <c r="H23" s="17" t="s">
        <v>61</v>
      </c>
      <c r="I23" s="15"/>
    </row>
    <row r="24" spans="2:9">
      <c r="B24" s="21"/>
      <c r="C24" s="21"/>
      <c r="D24" s="21"/>
      <c r="E24" s="21"/>
    </row>
    <row r="25" spans="2:9" ht="21">
      <c r="B25" s="19" t="s">
        <v>37</v>
      </c>
      <c r="C25" s="19" t="s">
        <v>53</v>
      </c>
      <c r="D25" s="19" t="s">
        <v>56</v>
      </c>
      <c r="E25" s="48" t="s">
        <v>51</v>
      </c>
      <c r="H25" s="16" t="s">
        <v>62</v>
      </c>
      <c r="I25" s="16" t="s">
        <v>22</v>
      </c>
    </row>
    <row r="26" spans="2:9" ht="28.8">
      <c r="B26" s="49" t="s">
        <v>38</v>
      </c>
      <c r="C26" s="21" t="e">
        <f>SUM(Revenue_Range)</f>
        <v>#NAME?</v>
      </c>
      <c r="D26" s="50">
        <v>636065396</v>
      </c>
      <c r="E26" s="22" t="s">
        <v>54</v>
      </c>
      <c r="H26" s="16" t="s">
        <v>63</v>
      </c>
      <c r="I26" s="16" t="s">
        <v>24</v>
      </c>
    </row>
    <row r="27" spans="2:9" ht="18">
      <c r="B27" s="49"/>
      <c r="C27" s="21"/>
      <c r="D27" s="21"/>
      <c r="E27" s="21"/>
      <c r="H27" s="16" t="s">
        <v>64</v>
      </c>
      <c r="I27" s="16" t="s">
        <v>66</v>
      </c>
    </row>
    <row r="28" spans="2:9" ht="18">
      <c r="B28" s="49" t="s">
        <v>39</v>
      </c>
      <c r="C28" s="21" t="e">
        <f>SUM(Units_Sold_Range)</f>
        <v>#NAME?</v>
      </c>
      <c r="D28" s="21">
        <v>117278</v>
      </c>
      <c r="E28" s="20" t="s">
        <v>55</v>
      </c>
      <c r="H28" s="16" t="s">
        <v>65</v>
      </c>
      <c r="I28" s="16" t="s">
        <v>60</v>
      </c>
    </row>
    <row r="29" spans="2:9" ht="18">
      <c r="B29" s="49" t="s">
        <v>40</v>
      </c>
      <c r="C29" s="21" t="e" cm="1">
        <f t="array" ref="C29">Total Revenue / Number of Orders</f>
        <v>#NAME?</v>
      </c>
      <c r="D29" s="21">
        <v>8379</v>
      </c>
      <c r="E29" s="20" t="s">
        <v>58</v>
      </c>
    </row>
    <row r="30" spans="2:9" ht="18">
      <c r="B30" s="14"/>
      <c r="D30" s="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66653-8A12-4DF3-9D67-C38EFF662456}">
  <dimension ref="A1:L44"/>
  <sheetViews>
    <sheetView workbookViewId="0">
      <selection activeCell="G23" sqref="G23"/>
    </sheetView>
  </sheetViews>
  <sheetFormatPr defaultRowHeight="14.4"/>
  <cols>
    <col min="1" max="1" width="18.5546875" customWidth="1"/>
    <col min="2" max="2" width="10.88671875" customWidth="1"/>
    <col min="3" max="3" width="22.109375" customWidth="1"/>
    <col min="4" max="4" width="11.44140625" customWidth="1"/>
    <col min="5" max="5" width="12.33203125" customWidth="1"/>
    <col min="6" max="6" width="13.88671875" customWidth="1"/>
    <col min="7" max="7" width="14.6640625" customWidth="1"/>
    <col min="8" max="8" width="14.44140625" customWidth="1"/>
    <col min="9" max="9" width="16.33203125" customWidth="1"/>
    <col min="10" max="10" width="22.21875" customWidth="1"/>
    <col min="11" max="11" width="19.33203125" customWidth="1"/>
  </cols>
  <sheetData>
    <row r="1" spans="1:12">
      <c r="A1" s="1" t="s">
        <v>0</v>
      </c>
      <c r="B1" s="1" t="s">
        <v>1</v>
      </c>
      <c r="C1" s="1" t="s">
        <v>2</v>
      </c>
      <c r="D1" s="1" t="s">
        <v>3</v>
      </c>
      <c r="E1" s="1" t="s">
        <v>4</v>
      </c>
      <c r="F1" s="1" t="s">
        <v>5</v>
      </c>
      <c r="G1" s="1" t="s">
        <v>6</v>
      </c>
      <c r="H1" s="22" t="s">
        <v>67</v>
      </c>
      <c r="I1" s="23" t="s">
        <v>69</v>
      </c>
      <c r="J1" s="22" t="s">
        <v>75</v>
      </c>
      <c r="K1" s="23" t="s">
        <v>76</v>
      </c>
      <c r="L1" s="13"/>
    </row>
    <row r="2" spans="1:12">
      <c r="A2" s="2" t="s">
        <v>19</v>
      </c>
      <c r="B2" s="2" t="s">
        <v>22</v>
      </c>
      <c r="C2" s="2" t="s">
        <v>9</v>
      </c>
      <c r="D2" s="2">
        <v>1001</v>
      </c>
      <c r="E2" s="2">
        <v>5604.85</v>
      </c>
      <c r="F2" s="2">
        <v>5610453</v>
      </c>
      <c r="G2" s="2">
        <v>894</v>
      </c>
      <c r="H2" s="21">
        <f>E2*0.9</f>
        <v>5044.3650000000007</v>
      </c>
      <c r="I2" s="21">
        <f>D2*H2</f>
        <v>5049409.3650000012</v>
      </c>
      <c r="J2" s="21">
        <f>F2*0.3</f>
        <v>1683135.9</v>
      </c>
      <c r="K2" s="21">
        <f>I2*0.3</f>
        <v>1514822.8095000002</v>
      </c>
    </row>
    <row r="3" spans="1:12">
      <c r="A3" s="2" t="s">
        <v>20</v>
      </c>
      <c r="B3" s="2" t="s">
        <v>28</v>
      </c>
      <c r="C3" s="2" t="s">
        <v>9</v>
      </c>
      <c r="D3" s="2">
        <v>1061</v>
      </c>
      <c r="E3" s="2">
        <v>5393.56</v>
      </c>
      <c r="F3" s="2">
        <v>5722566</v>
      </c>
      <c r="G3" s="2">
        <v>805</v>
      </c>
      <c r="H3" s="21">
        <f t="shared" ref="H3:H18" si="0">E3*0.9</f>
        <v>4854.2040000000006</v>
      </c>
      <c r="I3" s="21">
        <f t="shared" ref="I3:I18" si="1">D3*H3</f>
        <v>5150310.4440000011</v>
      </c>
      <c r="J3" s="21">
        <f t="shared" ref="J3:J18" si="2">F3*0.3</f>
        <v>1716769.8</v>
      </c>
      <c r="K3" s="21">
        <f t="shared" ref="K3:K18" si="3">I3*0.3</f>
        <v>1545093.1332000003</v>
      </c>
    </row>
    <row r="4" spans="1:12">
      <c r="A4" s="2" t="s">
        <v>24</v>
      </c>
      <c r="B4" s="2" t="s">
        <v>28</v>
      </c>
      <c r="C4" s="2" t="s">
        <v>9</v>
      </c>
      <c r="D4" s="2">
        <v>937</v>
      </c>
      <c r="E4" s="2">
        <v>4724.1099999999997</v>
      </c>
      <c r="F4" s="2">
        <v>4426490</v>
      </c>
      <c r="G4" s="2">
        <v>888</v>
      </c>
      <c r="H4" s="21">
        <f t="shared" si="0"/>
        <v>4251.6989999999996</v>
      </c>
      <c r="I4" s="21">
        <f>D4*H4</f>
        <v>3983841.9629999995</v>
      </c>
      <c r="J4" s="21">
        <f t="shared" si="2"/>
        <v>1327947</v>
      </c>
      <c r="K4" s="21">
        <f t="shared" si="3"/>
        <v>1195152.5888999999</v>
      </c>
    </row>
    <row r="5" spans="1:12">
      <c r="A5" s="2" t="s">
        <v>17</v>
      </c>
      <c r="B5" s="2" t="s">
        <v>22</v>
      </c>
      <c r="C5" s="2" t="s">
        <v>9</v>
      </c>
      <c r="D5" s="2">
        <v>1162</v>
      </c>
      <c r="E5" s="2">
        <v>5355.34</v>
      </c>
      <c r="F5" s="2">
        <v>6222903</v>
      </c>
      <c r="G5" s="2">
        <v>1044</v>
      </c>
      <c r="H5" s="21">
        <f t="shared" si="0"/>
        <v>4819.8060000000005</v>
      </c>
      <c r="I5" s="21">
        <f t="shared" si="1"/>
        <v>5600614.5720000006</v>
      </c>
      <c r="J5" s="21">
        <f t="shared" si="2"/>
        <v>1866870.9</v>
      </c>
      <c r="K5" s="21">
        <f t="shared" si="3"/>
        <v>1680184.3716000002</v>
      </c>
    </row>
    <row r="6" spans="1:12">
      <c r="A6" s="2" t="s">
        <v>30</v>
      </c>
      <c r="B6" s="2" t="s">
        <v>28</v>
      </c>
      <c r="C6" s="2" t="s">
        <v>9</v>
      </c>
      <c r="D6" s="2">
        <v>719</v>
      </c>
      <c r="E6" s="2">
        <v>5211.1000000000004</v>
      </c>
      <c r="F6" s="2">
        <v>3746781</v>
      </c>
      <c r="G6" s="2">
        <v>517</v>
      </c>
      <c r="H6" s="21">
        <f t="shared" si="0"/>
        <v>4689.9900000000007</v>
      </c>
      <c r="I6" s="21">
        <f t="shared" si="1"/>
        <v>3372102.8100000005</v>
      </c>
      <c r="J6" s="21">
        <f t="shared" si="2"/>
        <v>1124034.3</v>
      </c>
      <c r="K6" s="21">
        <f t="shared" si="3"/>
        <v>1011630.8430000001</v>
      </c>
    </row>
    <row r="7" spans="1:12">
      <c r="A7" s="2" t="s">
        <v>26</v>
      </c>
      <c r="B7" s="2" t="s">
        <v>22</v>
      </c>
      <c r="C7" s="2" t="s">
        <v>9</v>
      </c>
      <c r="D7" s="2">
        <v>846</v>
      </c>
      <c r="E7" s="2">
        <v>5317.31</v>
      </c>
      <c r="F7" s="2">
        <v>4498447</v>
      </c>
      <c r="G7" s="2">
        <v>625</v>
      </c>
      <c r="H7" s="21">
        <f t="shared" si="0"/>
        <v>4785.5790000000006</v>
      </c>
      <c r="I7" s="21">
        <f t="shared" si="1"/>
        <v>4048599.8340000007</v>
      </c>
      <c r="J7" s="21">
        <f t="shared" si="2"/>
        <v>1349534.0999999999</v>
      </c>
      <c r="K7" s="21">
        <f t="shared" si="3"/>
        <v>1214579.9502000001</v>
      </c>
    </row>
    <row r="8" spans="1:12">
      <c r="A8" s="2" t="s">
        <v>17</v>
      </c>
      <c r="B8" s="2" t="s">
        <v>25</v>
      </c>
      <c r="C8" s="2" t="s">
        <v>9</v>
      </c>
      <c r="D8" s="2">
        <v>819</v>
      </c>
      <c r="E8" s="2">
        <v>5181.42</v>
      </c>
      <c r="F8" s="2">
        <v>4243586</v>
      </c>
      <c r="G8" s="2">
        <v>582</v>
      </c>
      <c r="H8" s="21">
        <f t="shared" si="0"/>
        <v>4663.2780000000002</v>
      </c>
      <c r="I8" s="21">
        <f t="shared" si="1"/>
        <v>3819224.682</v>
      </c>
      <c r="J8" s="21">
        <f t="shared" si="2"/>
        <v>1273075.8</v>
      </c>
      <c r="K8" s="21">
        <f t="shared" si="3"/>
        <v>1145767.4046</v>
      </c>
    </row>
    <row r="9" spans="1:12">
      <c r="A9" s="2" t="s">
        <v>7</v>
      </c>
      <c r="B9" s="2" t="s">
        <v>28</v>
      </c>
      <c r="C9" s="2" t="s">
        <v>9</v>
      </c>
      <c r="D9" s="2">
        <v>819</v>
      </c>
      <c r="E9" s="2">
        <v>5618.03</v>
      </c>
      <c r="F9" s="2">
        <v>4601168</v>
      </c>
      <c r="G9" s="2">
        <v>730</v>
      </c>
      <c r="H9" s="21">
        <f>E9*0.9</f>
        <v>5056.2269999999999</v>
      </c>
      <c r="I9" s="21">
        <f t="shared" si="1"/>
        <v>4141049.9129999997</v>
      </c>
      <c r="J9" s="21">
        <f t="shared" si="2"/>
        <v>1380350.4</v>
      </c>
      <c r="K9" s="21">
        <f t="shared" si="3"/>
        <v>1242314.9738999999</v>
      </c>
    </row>
    <row r="10" spans="1:12">
      <c r="A10" s="2" t="s">
        <v>26</v>
      </c>
      <c r="B10" s="2" t="s">
        <v>22</v>
      </c>
      <c r="C10" s="2" t="s">
        <v>9</v>
      </c>
      <c r="D10" s="2">
        <v>802</v>
      </c>
      <c r="E10" s="2">
        <v>5391.54</v>
      </c>
      <c r="F10" s="2">
        <v>4324011</v>
      </c>
      <c r="G10" s="2">
        <v>745</v>
      </c>
      <c r="H10" s="21">
        <f t="shared" si="0"/>
        <v>4852.3860000000004</v>
      </c>
      <c r="I10" s="21">
        <f t="shared" si="1"/>
        <v>3891613.5720000002</v>
      </c>
      <c r="J10" s="21">
        <f t="shared" si="2"/>
        <v>1297203.3</v>
      </c>
      <c r="K10" s="21">
        <f t="shared" si="3"/>
        <v>1167484.0715999999</v>
      </c>
    </row>
    <row r="11" spans="1:12">
      <c r="A11" s="2" t="s">
        <v>15</v>
      </c>
      <c r="B11" s="2" t="s">
        <v>22</v>
      </c>
      <c r="C11" s="2" t="s">
        <v>9</v>
      </c>
      <c r="D11" s="2">
        <v>1049</v>
      </c>
      <c r="E11" s="2">
        <v>5288.89</v>
      </c>
      <c r="F11" s="2">
        <v>5548046</v>
      </c>
      <c r="G11" s="2">
        <v>820</v>
      </c>
      <c r="H11" s="21">
        <f t="shared" si="0"/>
        <v>4760.0010000000002</v>
      </c>
      <c r="I11" s="21">
        <f t="shared" si="1"/>
        <v>4993241.0490000006</v>
      </c>
      <c r="J11" s="21">
        <f t="shared" si="2"/>
        <v>1664413.8</v>
      </c>
      <c r="K11" s="21">
        <f t="shared" si="3"/>
        <v>1497972.3147000002</v>
      </c>
    </row>
    <row r="12" spans="1:12">
      <c r="A12" s="2" t="s">
        <v>26</v>
      </c>
      <c r="B12" s="2" t="s">
        <v>22</v>
      </c>
      <c r="C12" s="2" t="s">
        <v>9</v>
      </c>
      <c r="D12" s="2">
        <v>832</v>
      </c>
      <c r="E12" s="2">
        <v>5141.43</v>
      </c>
      <c r="F12" s="2">
        <v>4277666</v>
      </c>
      <c r="G12" s="2">
        <v>656</v>
      </c>
      <c r="H12" s="21">
        <f t="shared" si="0"/>
        <v>4627.2870000000003</v>
      </c>
      <c r="I12" s="21">
        <f t="shared" si="1"/>
        <v>3849902.784</v>
      </c>
      <c r="J12" s="21">
        <f t="shared" si="2"/>
        <v>1283299.8</v>
      </c>
      <c r="K12" s="21">
        <f t="shared" si="3"/>
        <v>1154970.8351999999</v>
      </c>
    </row>
    <row r="13" spans="1:12">
      <c r="A13" s="2" t="s">
        <v>26</v>
      </c>
      <c r="B13" s="2" t="s">
        <v>25</v>
      </c>
      <c r="C13" s="2" t="s">
        <v>9</v>
      </c>
      <c r="D13" s="2">
        <v>1036</v>
      </c>
      <c r="E13" s="2">
        <v>5488.26</v>
      </c>
      <c r="F13" s="2">
        <v>5685834</v>
      </c>
      <c r="G13" s="2">
        <v>751</v>
      </c>
      <c r="H13" s="21">
        <f t="shared" si="0"/>
        <v>4939.4340000000002</v>
      </c>
      <c r="I13" s="21">
        <f t="shared" si="1"/>
        <v>5117253.6239999998</v>
      </c>
      <c r="J13" s="21">
        <f t="shared" si="2"/>
        <v>1705750.2</v>
      </c>
      <c r="K13" s="21">
        <f t="shared" si="3"/>
        <v>1535176.0872</v>
      </c>
    </row>
    <row r="14" spans="1:12">
      <c r="A14" s="2" t="s">
        <v>17</v>
      </c>
      <c r="B14" s="2" t="s">
        <v>22</v>
      </c>
      <c r="C14" s="2" t="s">
        <v>9</v>
      </c>
      <c r="D14" s="2">
        <v>1103</v>
      </c>
      <c r="E14" s="2">
        <v>5481.57</v>
      </c>
      <c r="F14" s="2">
        <v>6046177</v>
      </c>
      <c r="G14" s="2">
        <v>971</v>
      </c>
      <c r="H14" s="21">
        <f t="shared" si="0"/>
        <v>4933.4129999999996</v>
      </c>
      <c r="I14" s="21">
        <f t="shared" si="1"/>
        <v>5441554.5389999999</v>
      </c>
      <c r="J14" s="21">
        <f t="shared" si="2"/>
        <v>1813853.0999999999</v>
      </c>
      <c r="K14" s="21">
        <f t="shared" si="3"/>
        <v>1632466.3617</v>
      </c>
    </row>
    <row r="15" spans="1:12">
      <c r="A15" s="2" t="s">
        <v>26</v>
      </c>
      <c r="B15" s="2" t="s">
        <v>25</v>
      </c>
      <c r="C15" s="2" t="s">
        <v>9</v>
      </c>
      <c r="D15" s="2">
        <v>1149</v>
      </c>
      <c r="E15" s="2">
        <v>5184.62</v>
      </c>
      <c r="F15" s="2">
        <v>5957130</v>
      </c>
      <c r="G15" s="2">
        <v>922</v>
      </c>
      <c r="H15" s="21">
        <f t="shared" si="0"/>
        <v>4666.1580000000004</v>
      </c>
      <c r="I15" s="21">
        <f t="shared" si="1"/>
        <v>5361415.5420000004</v>
      </c>
      <c r="J15" s="21">
        <f t="shared" si="2"/>
        <v>1787139</v>
      </c>
      <c r="K15" s="21">
        <f t="shared" si="3"/>
        <v>1608424.6626000002</v>
      </c>
    </row>
    <row r="16" spans="1:12">
      <c r="A16" s="2" t="s">
        <v>15</v>
      </c>
      <c r="B16" s="2" t="s">
        <v>25</v>
      </c>
      <c r="C16" s="2" t="s">
        <v>9</v>
      </c>
      <c r="D16" s="2">
        <v>1059</v>
      </c>
      <c r="E16" s="2">
        <v>5540.99</v>
      </c>
      <c r="F16" s="2">
        <v>5867913</v>
      </c>
      <c r="G16" s="2">
        <v>840</v>
      </c>
      <c r="H16" s="21">
        <f t="shared" si="0"/>
        <v>4986.8909999999996</v>
      </c>
      <c r="I16" s="21">
        <f t="shared" si="1"/>
        <v>5281117.5689999992</v>
      </c>
      <c r="J16" s="21">
        <f t="shared" si="2"/>
        <v>1760373.9</v>
      </c>
      <c r="K16" s="21">
        <f t="shared" si="3"/>
        <v>1584335.2706999998</v>
      </c>
    </row>
    <row r="17" spans="1:11">
      <c r="A17" s="2" t="s">
        <v>20</v>
      </c>
      <c r="B17" s="2" t="s">
        <v>28</v>
      </c>
      <c r="C17" s="2" t="s">
        <v>9</v>
      </c>
      <c r="D17" s="2">
        <v>891</v>
      </c>
      <c r="E17" s="2">
        <v>5102.08</v>
      </c>
      <c r="F17" s="2">
        <v>4545956</v>
      </c>
      <c r="G17" s="2">
        <v>795</v>
      </c>
      <c r="H17" s="21">
        <f t="shared" si="0"/>
        <v>4591.8720000000003</v>
      </c>
      <c r="I17" s="21">
        <f t="shared" si="1"/>
        <v>4091357.952</v>
      </c>
      <c r="J17" s="21">
        <f t="shared" si="2"/>
        <v>1363786.8</v>
      </c>
      <c r="K17" s="21">
        <f t="shared" si="3"/>
        <v>1227407.3855999999</v>
      </c>
    </row>
    <row r="18" spans="1:11">
      <c r="A18" s="2" t="s">
        <v>17</v>
      </c>
      <c r="B18" s="2" t="s">
        <v>22</v>
      </c>
      <c r="C18" s="2" t="s">
        <v>9</v>
      </c>
      <c r="D18" s="2">
        <v>911</v>
      </c>
      <c r="E18" s="2">
        <v>5421.51</v>
      </c>
      <c r="F18" s="2">
        <v>4938999</v>
      </c>
      <c r="G18" s="2">
        <v>649</v>
      </c>
      <c r="H18" s="21">
        <f t="shared" si="0"/>
        <v>4879.3590000000004</v>
      </c>
      <c r="I18" s="21">
        <f t="shared" si="1"/>
        <v>4445096.0490000006</v>
      </c>
      <c r="J18" s="21">
        <f t="shared" si="2"/>
        <v>1481699.7</v>
      </c>
      <c r="K18" s="21">
        <f t="shared" si="3"/>
        <v>1333528.8147000002</v>
      </c>
    </row>
    <row r="19" spans="1:11">
      <c r="A19" s="2"/>
      <c r="B19" s="2"/>
      <c r="C19" s="2"/>
      <c r="D19" s="2"/>
      <c r="E19" s="2"/>
      <c r="F19" s="2"/>
      <c r="G19" s="2"/>
      <c r="H19" s="27"/>
      <c r="I19" s="27"/>
      <c r="J19" s="27"/>
      <c r="K19" s="27"/>
    </row>
    <row r="20" spans="1:11">
      <c r="A20" s="2"/>
      <c r="B20" s="2"/>
      <c r="C20" s="2"/>
      <c r="D20" s="2"/>
      <c r="E20" s="2"/>
      <c r="F20" s="2"/>
      <c r="G20" s="2"/>
      <c r="H20" s="27"/>
      <c r="I20" s="27"/>
      <c r="J20" s="27"/>
      <c r="K20" s="27"/>
    </row>
    <row r="21" spans="1:11">
      <c r="A21" s="2"/>
      <c r="B21" s="2"/>
      <c r="C21" s="2"/>
      <c r="D21" s="2"/>
      <c r="E21" s="2"/>
      <c r="F21" s="2"/>
      <c r="G21" s="2"/>
      <c r="H21" s="27"/>
      <c r="I21" s="27"/>
      <c r="J21" s="27"/>
      <c r="K21" s="27"/>
    </row>
    <row r="22" spans="1:11" ht="61.2">
      <c r="A22" s="2"/>
      <c r="B22" s="28" t="s">
        <v>85</v>
      </c>
      <c r="C22" s="2"/>
      <c r="D22" s="2"/>
      <c r="E22" s="2"/>
      <c r="F22" s="2"/>
      <c r="G22" s="2"/>
      <c r="H22" s="27"/>
      <c r="I22" s="27"/>
      <c r="J22" s="27"/>
      <c r="K22" s="27"/>
    </row>
    <row r="24" spans="1:11" ht="21">
      <c r="A24" s="19" t="s">
        <v>71</v>
      </c>
      <c r="B24" s="19" t="s">
        <v>72</v>
      </c>
      <c r="C24" s="19" t="s">
        <v>73</v>
      </c>
      <c r="D24" s="19" t="s">
        <v>74</v>
      </c>
      <c r="F24" s="5"/>
      <c r="G24" s="5"/>
    </row>
    <row r="25" spans="1:11">
      <c r="A25" s="20" t="s">
        <v>68</v>
      </c>
      <c r="B25" s="21">
        <f>SUM(F2:F18)</f>
        <v>86264126</v>
      </c>
      <c r="C25" s="21">
        <f>SUM(I2:I18)</f>
        <v>77637706.263000011</v>
      </c>
      <c r="D25" s="21">
        <f>B25-C25</f>
        <v>8626419.7369999886</v>
      </c>
      <c r="F25" s="18"/>
    </row>
    <row r="26" spans="1:11">
      <c r="A26" s="20" t="s">
        <v>70</v>
      </c>
      <c r="B26" s="21">
        <f>SUM(J2:J18)</f>
        <v>25879237.800000004</v>
      </c>
      <c r="C26" s="21">
        <f>SUM(K2:K18)</f>
        <v>23291311.878899999</v>
      </c>
      <c r="D26" s="21">
        <f>B26-C26</f>
        <v>2587925.9211000055</v>
      </c>
      <c r="F26" s="5"/>
    </row>
    <row r="27" spans="1:11">
      <c r="F27" s="5"/>
    </row>
    <row r="29" spans="1:11" ht="33.6">
      <c r="A29" s="26" t="s">
        <v>77</v>
      </c>
      <c r="B29" s="26"/>
      <c r="C29" s="25"/>
      <c r="D29" s="25"/>
      <c r="E29" s="25"/>
    </row>
    <row r="30" spans="1:11" ht="33.6">
      <c r="A30" s="25"/>
      <c r="B30" s="25"/>
      <c r="C30" s="25"/>
      <c r="D30" s="25"/>
      <c r="E30" s="25"/>
    </row>
    <row r="31" spans="1:11" ht="33.6">
      <c r="A31" s="25" t="s">
        <v>79</v>
      </c>
      <c r="B31" s="25"/>
      <c r="C31" s="25"/>
      <c r="D31" s="25"/>
      <c r="E31" s="25"/>
    </row>
    <row r="32" spans="1:11" ht="33.6">
      <c r="A32" s="25"/>
      <c r="B32" s="25"/>
      <c r="C32" s="25"/>
      <c r="D32" s="25"/>
      <c r="E32" s="25"/>
    </row>
    <row r="33" spans="1:5" ht="33.6">
      <c r="A33" s="25" t="s">
        <v>80</v>
      </c>
      <c r="B33" s="25"/>
      <c r="C33" s="25"/>
      <c r="D33" s="25"/>
      <c r="E33" s="25"/>
    </row>
    <row r="34" spans="1:5" ht="33.6">
      <c r="A34" s="25"/>
      <c r="B34" s="25"/>
      <c r="C34" s="25"/>
      <c r="D34" s="25"/>
      <c r="E34" s="25"/>
    </row>
    <row r="35" spans="1:5" ht="33.6">
      <c r="A35" s="25" t="s">
        <v>81</v>
      </c>
      <c r="B35" s="25"/>
      <c r="C35" s="25"/>
      <c r="D35" s="25"/>
      <c r="E35" s="25"/>
    </row>
    <row r="36" spans="1:5" ht="33.6">
      <c r="A36" s="25"/>
      <c r="B36" s="25"/>
      <c r="C36" s="25"/>
      <c r="D36" s="25"/>
      <c r="E36" s="25"/>
    </row>
    <row r="37" spans="1:5" ht="33.6">
      <c r="A37" s="26" t="s">
        <v>78</v>
      </c>
      <c r="B37" s="25"/>
      <c r="C37" s="25"/>
      <c r="D37" s="25"/>
      <c r="E37" s="25"/>
    </row>
    <row r="38" spans="1:5" ht="33.6">
      <c r="A38" s="25"/>
      <c r="B38" s="25"/>
      <c r="C38" s="25"/>
      <c r="D38" s="25"/>
      <c r="E38" s="25"/>
    </row>
    <row r="39" spans="1:5" ht="33.6">
      <c r="A39" s="25" t="s">
        <v>82</v>
      </c>
      <c r="B39" s="25"/>
      <c r="C39" s="25"/>
      <c r="D39" s="25"/>
      <c r="E39" s="25"/>
    </row>
    <row r="40" spans="1:5" ht="33.6">
      <c r="A40" s="25"/>
      <c r="B40" s="25"/>
      <c r="C40" s="25"/>
      <c r="D40" s="25"/>
      <c r="E40" s="25"/>
    </row>
    <row r="41" spans="1:5" ht="33.6">
      <c r="A41" s="25" t="s">
        <v>83</v>
      </c>
      <c r="B41" s="25"/>
      <c r="C41" s="25"/>
      <c r="D41" s="25"/>
      <c r="E41" s="25"/>
    </row>
    <row r="42" spans="1:5" ht="33.6">
      <c r="A42" s="25"/>
      <c r="B42" s="25"/>
      <c r="C42" s="25"/>
      <c r="D42" s="25"/>
      <c r="E42" s="25"/>
    </row>
    <row r="43" spans="1:5" ht="33.6">
      <c r="A43" s="25" t="s">
        <v>84</v>
      </c>
      <c r="B43" s="25"/>
      <c r="C43" s="25"/>
      <c r="D43" s="25"/>
      <c r="E43" s="25"/>
    </row>
    <row r="44" spans="1:5" ht="33.6">
      <c r="A44" s="25"/>
      <c r="B44" s="25"/>
      <c r="C44" s="25"/>
      <c r="D44" s="25"/>
      <c r="E44" s="2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DF926-C7CE-4415-B916-6DBDBCE7FE8E}">
  <dimension ref="A1:L70"/>
  <sheetViews>
    <sheetView zoomScale="99" zoomScaleNormal="99" workbookViewId="0">
      <selection activeCell="K78" sqref="K78"/>
    </sheetView>
  </sheetViews>
  <sheetFormatPr defaultRowHeight="14.4"/>
  <cols>
    <col min="2" max="3" width="8.88671875" customWidth="1"/>
    <col min="4" max="4" width="17.109375" customWidth="1"/>
    <col min="5" max="5" width="18.77734375" customWidth="1"/>
    <col min="6" max="6" width="19.6640625" customWidth="1"/>
  </cols>
  <sheetData>
    <row r="1" spans="1:12" ht="61.2">
      <c r="B1" s="28" t="s">
        <v>89</v>
      </c>
      <c r="C1" s="38"/>
      <c r="D1" s="38"/>
      <c r="E1" s="38"/>
    </row>
    <row r="2" spans="1:12" ht="13.8" customHeight="1"/>
    <row r="3" spans="1:12" ht="25.8">
      <c r="A3" s="37" t="s">
        <v>86</v>
      </c>
      <c r="B3" s="37"/>
      <c r="C3" s="37"/>
      <c r="D3" s="37"/>
      <c r="E3" s="37"/>
      <c r="F3" s="37"/>
      <c r="G3" s="37"/>
      <c r="H3" s="37"/>
      <c r="I3" s="37"/>
      <c r="J3" s="37"/>
      <c r="K3" s="37"/>
      <c r="L3" s="37"/>
    </row>
    <row r="4" spans="1:12" ht="25.8">
      <c r="A4" s="37" t="s">
        <v>87</v>
      </c>
      <c r="B4" s="37"/>
      <c r="C4" s="37"/>
      <c r="D4" s="37"/>
      <c r="E4" s="37"/>
      <c r="F4" s="37"/>
      <c r="G4" s="37"/>
      <c r="H4" s="37"/>
      <c r="I4" s="37"/>
      <c r="J4" s="37"/>
      <c r="K4" s="37"/>
      <c r="L4" s="37"/>
    </row>
    <row r="5" spans="1:12" ht="25.8">
      <c r="A5" s="37"/>
      <c r="B5" s="37"/>
      <c r="C5" s="37"/>
      <c r="D5" s="37"/>
      <c r="E5" s="37"/>
      <c r="F5" s="37"/>
      <c r="G5" s="37"/>
      <c r="H5" s="37"/>
      <c r="I5" s="37"/>
      <c r="J5" s="37"/>
      <c r="K5" s="37"/>
      <c r="L5" s="37"/>
    </row>
    <row r="6" spans="1:12" ht="25.8">
      <c r="A6" s="42" t="s">
        <v>99</v>
      </c>
      <c r="B6" s="42"/>
      <c r="C6" s="42"/>
      <c r="D6" s="42"/>
      <c r="E6" s="37"/>
      <c r="F6" s="37"/>
      <c r="G6" s="37"/>
      <c r="H6" s="37"/>
      <c r="I6" s="37"/>
      <c r="J6" s="37"/>
      <c r="K6" s="37"/>
      <c r="L6" s="37"/>
    </row>
    <row r="7" spans="1:12" ht="25.8">
      <c r="A7" s="37"/>
      <c r="B7" s="37"/>
      <c r="C7" s="37"/>
      <c r="D7" s="37"/>
      <c r="E7" s="37"/>
      <c r="F7" s="37"/>
      <c r="G7" s="37"/>
      <c r="H7" s="37"/>
      <c r="I7" s="37"/>
      <c r="J7" s="37"/>
      <c r="K7" s="37"/>
      <c r="L7" s="37"/>
    </row>
    <row r="8" spans="1:12" ht="25.8">
      <c r="A8" s="37" t="s">
        <v>88</v>
      </c>
      <c r="B8" s="37"/>
      <c r="C8" s="37"/>
      <c r="D8" s="37"/>
      <c r="E8" s="37"/>
      <c r="F8" s="37"/>
      <c r="G8" s="37"/>
      <c r="H8" s="37"/>
      <c r="I8" s="37"/>
      <c r="J8" s="37"/>
      <c r="K8" s="37"/>
      <c r="L8" s="37"/>
    </row>
    <row r="10" spans="1:12" ht="21">
      <c r="D10" s="39" t="s">
        <v>90</v>
      </c>
      <c r="E10" s="39" t="s">
        <v>92</v>
      </c>
      <c r="F10" s="39" t="s">
        <v>91</v>
      </c>
    </row>
    <row r="11" spans="1:12" ht="15.6">
      <c r="D11" s="40" t="s">
        <v>93</v>
      </c>
      <c r="E11" s="41">
        <v>0.2</v>
      </c>
      <c r="F11" s="40">
        <v>1.2</v>
      </c>
    </row>
    <row r="12" spans="1:12" ht="15.6">
      <c r="D12" s="40" t="s">
        <v>94</v>
      </c>
      <c r="E12" s="41">
        <v>0.05</v>
      </c>
      <c r="F12" s="40">
        <v>1.05</v>
      </c>
    </row>
    <row r="13" spans="1:12">
      <c r="D13" s="5"/>
    </row>
    <row r="14" spans="1:12" ht="23.4">
      <c r="B14" s="12" t="s">
        <v>95</v>
      </c>
    </row>
    <row r="16" spans="1:12" ht="25.8">
      <c r="D16" s="37" t="s">
        <v>96</v>
      </c>
    </row>
    <row r="18" spans="1:6" ht="25.8">
      <c r="D18" s="37" t="s">
        <v>97</v>
      </c>
      <c r="E18" s="37"/>
      <c r="F18" s="37"/>
    </row>
    <row r="21" spans="1:6" ht="23.4">
      <c r="B21" s="24" t="s">
        <v>98</v>
      </c>
      <c r="C21" s="21"/>
      <c r="D21" s="21"/>
      <c r="E21" s="21"/>
      <c r="F21" s="21"/>
    </row>
    <row r="27" spans="1:6" ht="25.8">
      <c r="A27" s="42" t="s">
        <v>101</v>
      </c>
      <c r="B27" s="42"/>
      <c r="C27" s="42"/>
    </row>
    <row r="30" spans="1:6" ht="25.8">
      <c r="A30" s="37" t="s">
        <v>102</v>
      </c>
    </row>
    <row r="33" spans="2:6" ht="21">
      <c r="D33" s="39" t="s">
        <v>90</v>
      </c>
      <c r="E33" s="39" t="s">
        <v>92</v>
      </c>
      <c r="F33" s="39" t="s">
        <v>91</v>
      </c>
    </row>
    <row r="34" spans="2:6" ht="15.6">
      <c r="D34" s="40" t="s">
        <v>93</v>
      </c>
      <c r="E34" s="41" t="s">
        <v>103</v>
      </c>
      <c r="F34" s="40">
        <v>1</v>
      </c>
    </row>
    <row r="35" spans="2:6" ht="15.6">
      <c r="D35" s="40" t="s">
        <v>94</v>
      </c>
      <c r="E35" s="41" t="s">
        <v>104</v>
      </c>
      <c r="F35" s="40">
        <v>1</v>
      </c>
    </row>
    <row r="38" spans="2:6" ht="25.8">
      <c r="B38" s="42" t="s">
        <v>95</v>
      </c>
    </row>
    <row r="41" spans="2:6" ht="24.6">
      <c r="D41" s="43" t="s">
        <v>105</v>
      </c>
    </row>
    <row r="45" spans="2:6" ht="25.8">
      <c r="B45" s="44" t="s">
        <v>106</v>
      </c>
      <c r="C45" s="21"/>
      <c r="D45" s="21"/>
      <c r="E45" s="21"/>
      <c r="F45" s="21"/>
    </row>
    <row r="49" spans="1:7" ht="25.8">
      <c r="A49" s="42" t="s">
        <v>107</v>
      </c>
    </row>
    <row r="51" spans="1:7" ht="25.8">
      <c r="A51" s="37" t="s">
        <v>108</v>
      </c>
    </row>
    <row r="54" spans="1:7" ht="21">
      <c r="D54" s="39" t="s">
        <v>90</v>
      </c>
      <c r="E54" s="39" t="s">
        <v>92</v>
      </c>
      <c r="F54" s="39" t="s">
        <v>91</v>
      </c>
      <c r="G54" s="21"/>
    </row>
    <row r="55" spans="1:7" ht="15.6">
      <c r="D55" s="40" t="s">
        <v>93</v>
      </c>
      <c r="E55" s="41">
        <v>-0.15</v>
      </c>
      <c r="F55" s="40">
        <v>0.85</v>
      </c>
      <c r="G55" s="21"/>
    </row>
    <row r="56" spans="1:7" ht="15.6">
      <c r="D56" s="40" t="s">
        <v>94</v>
      </c>
      <c r="E56" s="41">
        <v>-0.1</v>
      </c>
      <c r="F56" s="40">
        <v>0.9</v>
      </c>
      <c r="G56" s="21"/>
    </row>
    <row r="57" spans="1:7" ht="15.6">
      <c r="D57" s="40" t="s">
        <v>100</v>
      </c>
      <c r="E57" s="41">
        <v>0.05</v>
      </c>
      <c r="F57" s="40" t="s">
        <v>109</v>
      </c>
      <c r="G57" s="40"/>
    </row>
    <row r="61" spans="1:7" ht="25.8">
      <c r="B61" s="42" t="s">
        <v>110</v>
      </c>
    </row>
    <row r="64" spans="1:7" ht="25.8">
      <c r="E64" s="45" t="s">
        <v>112</v>
      </c>
      <c r="F64" s="37"/>
    </row>
    <row r="65" spans="3:7" ht="25.8">
      <c r="E65" s="45" t="s">
        <v>113</v>
      </c>
      <c r="F65" s="37"/>
    </row>
    <row r="69" spans="3:7">
      <c r="F69" s="5" t="s">
        <v>111</v>
      </c>
    </row>
    <row r="70" spans="3:7" ht="25.8">
      <c r="C70" s="46" t="s">
        <v>114</v>
      </c>
      <c r="D70" s="21"/>
      <c r="E70" s="21"/>
      <c r="F70" s="21"/>
      <c r="G70" s="2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Monthly Revenue</vt:lpstr>
      <vt:lpstr>Sales by City</vt:lpstr>
      <vt:lpstr>Sales by Product Category</vt:lpstr>
      <vt:lpstr>Part -A Dashbook sheet</vt:lpstr>
      <vt:lpstr>PART - B</vt:lpstr>
      <vt:lpstr>Part-C Scenario Planning.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Abhyuday Mishra</dc:creator>
  <cp:lastModifiedBy>Abhyuday Mishra</cp:lastModifiedBy>
  <dcterms:created xsi:type="dcterms:W3CDTF">2025-10-25T15:55:34Z</dcterms:created>
  <dcterms:modified xsi:type="dcterms:W3CDTF">2025-12-25T07:51:39Z</dcterms:modified>
</cp:coreProperties>
</file>